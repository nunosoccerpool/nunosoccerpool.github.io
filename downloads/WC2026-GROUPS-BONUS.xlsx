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ob\Desktop\wc2026\"/>
    </mc:Choice>
  </mc:AlternateContent>
  <xr:revisionPtr revIDLastSave="0" documentId="13_ncr:1_{0BF8D750-861F-4BF9-9630-75D1BB3C24A5}" xr6:coauthVersionLast="47" xr6:coauthVersionMax="47" xr10:uidLastSave="{00000000-0000-0000-0000-000000000000}"/>
  <bookViews>
    <workbookView xWindow="-120" yWindow="-120" windowWidth="38640" windowHeight="21120" xr2:uid="{74C112C2-5EB1-4FE2-B062-25000C577A87}"/>
  </bookViews>
  <sheets>
    <sheet name="Group Stage" sheetId="1" r:id="rId1"/>
    <sheet name="Lucky Bonus" sheetId="2" r:id="rId2"/>
  </sheets>
  <externalReferences>
    <externalReference r:id="rId3"/>
  </externalReferences>
  <definedNames>
    <definedName name="A_Team1">'Group Stage'!$C$58</definedName>
    <definedName name="A_Team2">'Group Stage'!$C$59</definedName>
    <definedName name="A_Team3">'Group Stage'!$C$60</definedName>
    <definedName name="A_Team4">'Group Stage'!$C$61</definedName>
    <definedName name="B_Team1">'Group Stage'!$AA$58</definedName>
    <definedName name="B_Team2">'Group Stage'!$AA$59</definedName>
    <definedName name="B_Team3">'Group Stage'!$AA$60</definedName>
    <definedName name="B_Team4">'Group Stage'!$AA$61</definedName>
    <definedName name="C_Team1">'Group Stage'!$C$65</definedName>
    <definedName name="C_Team2">'Group Stage'!$C$66</definedName>
    <definedName name="C_Team3">'Group Stage'!$C$67</definedName>
    <definedName name="C_Team4">'Group Stage'!$C$68</definedName>
    <definedName name="D_Team1">'Group Stage'!$AA$65</definedName>
    <definedName name="D_Team2">'Group Stage'!$AA$66</definedName>
    <definedName name="D_Team3">'Group Stage'!$AA$67</definedName>
    <definedName name="D_Team4">'Group Stage'!$AA$68</definedName>
    <definedName name="E_Team1">'Group Stage'!$C$72</definedName>
    <definedName name="E_Team2">'Group Stage'!$C$73</definedName>
    <definedName name="E_Team3">'Group Stage'!$C$74</definedName>
    <definedName name="E_Team4">'Group Stage'!$C$75</definedName>
    <definedName name="F_Team1">'Group Stage'!$AA$72</definedName>
    <definedName name="F_Team2">'Group Stage'!$AA$73</definedName>
    <definedName name="F_Team3">'Group Stage'!$AA$74</definedName>
    <definedName name="F_Team4">'Group Stage'!$AA$75</definedName>
    <definedName name="G_Team1">'Group Stage'!$C$79</definedName>
    <definedName name="G_Team2">'Group Stage'!$C$80</definedName>
    <definedName name="G_Team3">'Group Stage'!$C$81</definedName>
    <definedName name="G_Team4">'Group Stage'!$C$82</definedName>
    <definedName name="H_Team1">'Group Stage'!$AA$79</definedName>
    <definedName name="H_Team2">'Group Stage'!$AA$80</definedName>
    <definedName name="H_Team3">'Group Stage'!$AA$81</definedName>
    <definedName name="H_Team4">'Group Stage'!$AA$82</definedName>
    <definedName name="I_Team1">'Group Stage'!$C$86</definedName>
    <definedName name="I_Team2">'Group Stage'!$C$87</definedName>
    <definedName name="I_Team3">'Group Stage'!$C$88</definedName>
    <definedName name="I_Team4">'Group Stage'!$C$89</definedName>
    <definedName name="J_Team1">'Group Stage'!$AA$86</definedName>
    <definedName name="J_Team2">'Group Stage'!$AA$87</definedName>
    <definedName name="J_Team3">'Group Stage'!$AA$88</definedName>
    <definedName name="J_Team4">'Group Stage'!$AA$89</definedName>
    <definedName name="K_Team1">'Group Stage'!$C$93</definedName>
    <definedName name="K_Team2">'Group Stage'!$C$94</definedName>
    <definedName name="K_Team3">'Group Stage'!$C$95</definedName>
    <definedName name="K_Team4">'Group Stage'!$C$96</definedName>
    <definedName name="L_Team1">'Group Stage'!$AA$93</definedName>
    <definedName name="L_Team2">'Group Stage'!$AA$94</definedName>
    <definedName name="L_Team3">'Group Stage'!$AA$95</definedName>
    <definedName name="L_Team4">'Group Stage'!$AA$96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2" l="1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V54" i="1"/>
  <c r="O54" i="1"/>
  <c r="X53" i="1"/>
  <c r="T53" i="1"/>
  <c r="Q53" i="1"/>
  <c r="M53" i="1"/>
  <c r="X52" i="1"/>
  <c r="T52" i="1"/>
  <c r="Q52" i="1"/>
  <c r="M52" i="1"/>
  <c r="X51" i="1"/>
  <c r="T51" i="1"/>
  <c r="Q51" i="1"/>
  <c r="M51" i="1"/>
  <c r="X50" i="1"/>
  <c r="T50" i="1"/>
  <c r="Q50" i="1"/>
  <c r="M50" i="1"/>
  <c r="X49" i="1"/>
  <c r="T49" i="1"/>
  <c r="Q49" i="1"/>
  <c r="M49" i="1"/>
  <c r="AI48" i="1"/>
  <c r="Y50" i="1" s="1"/>
  <c r="X48" i="1"/>
  <c r="T48" i="1"/>
  <c r="Q48" i="1"/>
  <c r="M48" i="1"/>
  <c r="K48" i="1"/>
  <c r="V45" i="1"/>
  <c r="O45" i="1"/>
  <c r="X44" i="1"/>
  <c r="T44" i="1"/>
  <c r="Q44" i="1"/>
  <c r="M44" i="1"/>
  <c r="X43" i="1"/>
  <c r="T43" i="1"/>
  <c r="Q43" i="1"/>
  <c r="M43" i="1"/>
  <c r="X42" i="1"/>
  <c r="T42" i="1"/>
  <c r="Q42" i="1"/>
  <c r="M42" i="1"/>
  <c r="X41" i="1"/>
  <c r="T41" i="1"/>
  <c r="Q41" i="1"/>
  <c r="M41" i="1"/>
  <c r="X40" i="1"/>
  <c r="T40" i="1"/>
  <c r="Q40" i="1"/>
  <c r="M40" i="1"/>
  <c r="AI39" i="1"/>
  <c r="Y40" i="1" s="1"/>
  <c r="X39" i="1"/>
  <c r="T39" i="1"/>
  <c r="Q39" i="1"/>
  <c r="M39" i="1"/>
  <c r="K39" i="1"/>
  <c r="A40" i="1" s="1"/>
  <c r="V36" i="1"/>
  <c r="O36" i="1"/>
  <c r="X35" i="1"/>
  <c r="T35" i="1"/>
  <c r="Q35" i="1"/>
  <c r="M35" i="1"/>
  <c r="X34" i="1"/>
  <c r="T34" i="1"/>
  <c r="Q34" i="1"/>
  <c r="M34" i="1"/>
  <c r="X33" i="1"/>
  <c r="T33" i="1"/>
  <c r="Q33" i="1"/>
  <c r="M33" i="1"/>
  <c r="X32" i="1"/>
  <c r="T32" i="1"/>
  <c r="Q32" i="1"/>
  <c r="M32" i="1"/>
  <c r="X31" i="1"/>
  <c r="T31" i="1"/>
  <c r="Q31" i="1"/>
  <c r="M31" i="1"/>
  <c r="AI30" i="1"/>
  <c r="Y34" i="1" s="1"/>
  <c r="X30" i="1"/>
  <c r="T30" i="1"/>
  <c r="Q30" i="1"/>
  <c r="M30" i="1"/>
  <c r="E82" i="1" s="1" a="1"/>
  <c r="E82" i="1" s="1"/>
  <c r="K30" i="1"/>
  <c r="A31" i="1" s="1"/>
  <c r="V27" i="1"/>
  <c r="O27" i="1"/>
  <c r="X26" i="1"/>
  <c r="T26" i="1"/>
  <c r="Q26" i="1"/>
  <c r="M26" i="1"/>
  <c r="X25" i="1"/>
  <c r="T25" i="1"/>
  <c r="Q25" i="1"/>
  <c r="M25" i="1"/>
  <c r="X24" i="1"/>
  <c r="T24" i="1"/>
  <c r="Q24" i="1"/>
  <c r="M24" i="1"/>
  <c r="X23" i="1"/>
  <c r="T23" i="1"/>
  <c r="Q23" i="1"/>
  <c r="M23" i="1"/>
  <c r="X22" i="1"/>
  <c r="T22" i="1"/>
  <c r="Q22" i="1"/>
  <c r="M22" i="1"/>
  <c r="AI21" i="1"/>
  <c r="Y24" i="1" s="1"/>
  <c r="X21" i="1"/>
  <c r="T21" i="1"/>
  <c r="Q21" i="1"/>
  <c r="M21" i="1"/>
  <c r="G73" i="1" s="1"/>
  <c r="K21" i="1"/>
  <c r="V18" i="1"/>
  <c r="O18" i="1"/>
  <c r="X17" i="1"/>
  <c r="T17" i="1"/>
  <c r="Q17" i="1"/>
  <c r="M17" i="1"/>
  <c r="X16" i="1"/>
  <c r="T16" i="1"/>
  <c r="Q16" i="1"/>
  <c r="M16" i="1"/>
  <c r="X15" i="1"/>
  <c r="T15" i="1"/>
  <c r="Q15" i="1"/>
  <c r="M15" i="1"/>
  <c r="X14" i="1"/>
  <c r="T14" i="1"/>
  <c r="Q14" i="1"/>
  <c r="M14" i="1"/>
  <c r="X13" i="1"/>
  <c r="T13" i="1"/>
  <c r="Q13" i="1"/>
  <c r="M13" i="1"/>
  <c r="AI12" i="1"/>
  <c r="Y14" i="1" s="1"/>
  <c r="X12" i="1"/>
  <c r="T12" i="1"/>
  <c r="Q12" i="1"/>
  <c r="M12" i="1"/>
  <c r="K12" i="1"/>
  <c r="A13" i="1" s="1"/>
  <c r="V9" i="1"/>
  <c r="O9" i="1"/>
  <c r="X8" i="1"/>
  <c r="T8" i="1"/>
  <c r="Q8" i="1"/>
  <c r="M8" i="1"/>
  <c r="X7" i="1"/>
  <c r="T7" i="1"/>
  <c r="Q7" i="1"/>
  <c r="M7" i="1"/>
  <c r="X6" i="1"/>
  <c r="T6" i="1"/>
  <c r="Q6" i="1"/>
  <c r="M6" i="1"/>
  <c r="X5" i="1"/>
  <c r="T5" i="1"/>
  <c r="Q5" i="1"/>
  <c r="M5" i="1"/>
  <c r="X4" i="1"/>
  <c r="T4" i="1"/>
  <c r="Q4" i="1"/>
  <c r="M4" i="1"/>
  <c r="AI3" i="1"/>
  <c r="Y5" i="1" s="1"/>
  <c r="X3" i="1"/>
  <c r="T3" i="1"/>
  <c r="Q3" i="1"/>
  <c r="M3" i="1"/>
  <c r="K3" i="1"/>
  <c r="A5" i="1" s="1"/>
  <c r="L24" i="2" l="1" a="1"/>
  <c r="L24" i="2" s="1"/>
  <c r="K2" i="2" s="1"/>
  <c r="Y33" i="1"/>
  <c r="Y32" i="1"/>
  <c r="Y7" i="1"/>
  <c r="Y15" i="1"/>
  <c r="AE94" i="1"/>
  <c r="AD80" i="1" a="1"/>
  <c r="AD80" i="1" s="1"/>
  <c r="AB82" i="1" a="1"/>
  <c r="AB82" i="1" s="1"/>
  <c r="AC73" i="1" a="1"/>
  <c r="AC73" i="1" s="1"/>
  <c r="AC68" i="1" a="1"/>
  <c r="AC68" i="1" s="1"/>
  <c r="D93" i="1" a="1"/>
  <c r="D93" i="1" s="1"/>
  <c r="E89" i="1" a="1"/>
  <c r="E89" i="1" s="1"/>
  <c r="F88" i="1" a="1"/>
  <c r="F88" i="1" s="1"/>
  <c r="H67" i="1"/>
  <c r="AD60" i="1" a="1"/>
  <c r="AD60" i="1" s="1"/>
  <c r="AD88" i="1" a="1"/>
  <c r="AD88" i="1" s="1"/>
  <c r="G94" i="1"/>
  <c r="E81" i="1" a="1"/>
  <c r="E81" i="1" s="1"/>
  <c r="D96" i="1" a="1"/>
  <c r="D96" i="1" s="1"/>
  <c r="AF66" i="1"/>
  <c r="F95" i="1" a="1"/>
  <c r="F95" i="1" s="1"/>
  <c r="AF89" i="1"/>
  <c r="AC89" i="1" a="1"/>
  <c r="AC89" i="1" s="1"/>
  <c r="AB87" i="1" a="1"/>
  <c r="AB87" i="1" s="1"/>
  <c r="E93" i="1" a="1"/>
  <c r="E93" i="1" s="1"/>
  <c r="AD87" i="1" a="1"/>
  <c r="AD87" i="1" s="1"/>
  <c r="H68" i="1"/>
  <c r="G80" i="1"/>
  <c r="AB93" i="1" a="1"/>
  <c r="AB93" i="1" s="1"/>
  <c r="F65" i="1" a="1"/>
  <c r="F65" i="1" s="1"/>
  <c r="AB61" i="1" a="1"/>
  <c r="AB61" i="1" s="1"/>
  <c r="AD67" i="1" a="1"/>
  <c r="AD67" i="1" s="1"/>
  <c r="E66" i="1" a="1"/>
  <c r="E66" i="1" s="1"/>
  <c r="AF58" i="1"/>
  <c r="AE74" i="1"/>
  <c r="E79" i="1" a="1"/>
  <c r="E79" i="1" s="1"/>
  <c r="H79" i="1"/>
  <c r="AB74" i="1" a="1"/>
  <c r="AB74" i="1" s="1"/>
  <c r="E74" i="1" a="1"/>
  <c r="E74" i="1" s="1"/>
  <c r="AC80" i="1" a="1"/>
  <c r="AC80" i="1" s="1"/>
  <c r="D68" i="1" a="1"/>
  <c r="D68" i="1" s="1"/>
  <c r="G67" i="1"/>
  <c r="H75" i="1"/>
  <c r="F73" i="1" a="1"/>
  <c r="F73" i="1" s="1"/>
  <c r="D82" i="1" a="1"/>
  <c r="D82" i="1" s="1"/>
  <c r="J82" i="1" s="1"/>
  <c r="E86" i="1" a="1"/>
  <c r="E86" i="1" s="1"/>
  <c r="E88" i="1" a="1"/>
  <c r="E88" i="1" s="1"/>
  <c r="H96" i="1"/>
  <c r="F94" i="1" a="1"/>
  <c r="F94" i="1" s="1"/>
  <c r="AF65" i="1"/>
  <c r="AC86" i="1" a="1"/>
  <c r="AC86" i="1" s="1"/>
  <c r="AC88" i="1" a="1"/>
  <c r="AC88" i="1" s="1"/>
  <c r="AF81" i="1"/>
  <c r="AD75" i="1" a="1"/>
  <c r="AD75" i="1" s="1"/>
  <c r="AB73" i="1" a="1"/>
  <c r="AB73" i="1" s="1"/>
  <c r="AE66" i="1"/>
  <c r="AG66" i="1" s="1"/>
  <c r="AC60" i="1" a="1"/>
  <c r="AC60" i="1" s="1"/>
  <c r="AF96" i="1"/>
  <c r="AD94" i="1" a="1"/>
  <c r="AD94" i="1" s="1"/>
  <c r="F74" i="1" a="1"/>
  <c r="F74" i="1" s="1"/>
  <c r="D89" i="1" a="1"/>
  <c r="D89" i="1" s="1"/>
  <c r="AE82" i="1"/>
  <c r="D67" i="1" a="1"/>
  <c r="D67" i="1" s="1"/>
  <c r="F67" i="1" a="1"/>
  <c r="F67" i="1" s="1"/>
  <c r="G75" i="1"/>
  <c r="E73" i="1" a="1"/>
  <c r="E73" i="1" s="1"/>
  <c r="H81" i="1"/>
  <c r="F86" i="1" a="1"/>
  <c r="F86" i="1" s="1"/>
  <c r="D88" i="1" a="1"/>
  <c r="D88" i="1" s="1"/>
  <c r="G96" i="1"/>
  <c r="E94" i="1" a="1"/>
  <c r="E94" i="1" s="1"/>
  <c r="AB72" i="1" a="1"/>
  <c r="AB72" i="1" s="1"/>
  <c r="AD86" i="1" a="1"/>
  <c r="AD86" i="1" s="1"/>
  <c r="AB88" i="1" a="1"/>
  <c r="AB88" i="1" s="1"/>
  <c r="AE81" i="1"/>
  <c r="AC75" i="1" a="1"/>
  <c r="AC75" i="1" s="1"/>
  <c r="AF68" i="1"/>
  <c r="AD66" i="1" a="1"/>
  <c r="AD66" i="1" s="1"/>
  <c r="AB60" i="1" a="1"/>
  <c r="AB60" i="1" s="1"/>
  <c r="AE96" i="1"/>
  <c r="AC94" i="1" a="1"/>
  <c r="AC94" i="1" s="1"/>
  <c r="G66" i="1"/>
  <c r="D72" i="1" a="1"/>
  <c r="D72" i="1" s="1"/>
  <c r="AF82" i="1"/>
  <c r="E72" i="1" a="1"/>
  <c r="E72" i="1" s="1"/>
  <c r="E95" i="1" a="1"/>
  <c r="E95" i="1" s="1"/>
  <c r="AF73" i="1"/>
  <c r="D66" i="1" a="1"/>
  <c r="D66" i="1" s="1"/>
  <c r="E67" i="1" a="1"/>
  <c r="E67" i="1" s="1"/>
  <c r="F75" i="1" a="1"/>
  <c r="F75" i="1" s="1"/>
  <c r="D73" i="1" a="1"/>
  <c r="D73" i="1" s="1"/>
  <c r="G81" i="1"/>
  <c r="G86" i="1"/>
  <c r="H87" i="1"/>
  <c r="F96" i="1" a="1"/>
  <c r="F96" i="1" s="1"/>
  <c r="D94" i="1" a="1"/>
  <c r="D94" i="1" s="1"/>
  <c r="AC72" i="1" a="1"/>
  <c r="AC72" i="1" s="1"/>
  <c r="AE86" i="1"/>
  <c r="AF87" i="1"/>
  <c r="AD81" i="1" a="1"/>
  <c r="AD81" i="1" s="1"/>
  <c r="AB75" i="1" a="1"/>
  <c r="AB75" i="1" s="1"/>
  <c r="AE68" i="1"/>
  <c r="AC66" i="1" a="1"/>
  <c r="AC66" i="1" s="1"/>
  <c r="AF59" i="1"/>
  <c r="AD96" i="1" a="1"/>
  <c r="AD96" i="1" s="1"/>
  <c r="AB94" i="1" a="1"/>
  <c r="AB94" i="1" s="1"/>
  <c r="D75" i="1" a="1"/>
  <c r="D75" i="1" s="1"/>
  <c r="AE67" i="1"/>
  <c r="G68" i="1"/>
  <c r="AB89" i="1" a="1"/>
  <c r="AB89" i="1" s="1"/>
  <c r="E65" i="1" a="1"/>
  <c r="E65" i="1" s="1"/>
  <c r="H66" i="1"/>
  <c r="E75" i="1" a="1"/>
  <c r="E75" i="1" s="1"/>
  <c r="D79" i="1" a="1"/>
  <c r="D79" i="1" s="1"/>
  <c r="F81" i="1" a="1"/>
  <c r="F81" i="1" s="1"/>
  <c r="H86" i="1"/>
  <c r="G87" i="1"/>
  <c r="E96" i="1" a="1"/>
  <c r="E96" i="1" s="1"/>
  <c r="AB58" i="1" a="1"/>
  <c r="AB58" i="1" s="1"/>
  <c r="AD72" i="1" a="1"/>
  <c r="AD72" i="1" s="1"/>
  <c r="AF86" i="1"/>
  <c r="AE87" i="1"/>
  <c r="AC81" i="1" a="1"/>
  <c r="AC81" i="1" s="1"/>
  <c r="AF74" i="1"/>
  <c r="AD68" i="1" a="1"/>
  <c r="AD68" i="1" s="1"/>
  <c r="AB66" i="1" a="1"/>
  <c r="AB66" i="1" s="1"/>
  <c r="AE59" i="1"/>
  <c r="AC96" i="1" a="1"/>
  <c r="AC96" i="1" s="1"/>
  <c r="H89" i="1"/>
  <c r="AE72" i="1"/>
  <c r="AB81" i="1" a="1"/>
  <c r="AB81" i="1" s="1"/>
  <c r="AF61" i="1"/>
  <c r="AD59" i="1" a="1"/>
  <c r="AD59" i="1" s="1"/>
  <c r="AB96" i="1" a="1"/>
  <c r="AB96" i="1" s="1"/>
  <c r="G65" i="1"/>
  <c r="F66" i="1" a="1"/>
  <c r="F66" i="1" s="1"/>
  <c r="H74" i="1"/>
  <c r="F79" i="1" a="1"/>
  <c r="F79" i="1" s="1"/>
  <c r="D81" i="1" a="1"/>
  <c r="D81" i="1" s="1"/>
  <c r="J81" i="1" s="1"/>
  <c r="G89" i="1"/>
  <c r="E87" i="1" a="1"/>
  <c r="E87" i="1" s="1"/>
  <c r="H95" i="1"/>
  <c r="AD58" i="1" a="1"/>
  <c r="AD58" i="1" s="1"/>
  <c r="AF72" i="1"/>
  <c r="AE89" i="1"/>
  <c r="AC87" i="1" a="1"/>
  <c r="AC87" i="1" s="1"/>
  <c r="AF80" i="1"/>
  <c r="AD74" i="1" a="1"/>
  <c r="AD74" i="1" s="1"/>
  <c r="AB68" i="1" a="1"/>
  <c r="AB68" i="1" s="1"/>
  <c r="AE61" i="1"/>
  <c r="AC59" i="1" a="1"/>
  <c r="AC59" i="1" s="1"/>
  <c r="AF95" i="1"/>
  <c r="F87" i="1" a="1"/>
  <c r="F87" i="1" s="1"/>
  <c r="AC58" i="1" a="1"/>
  <c r="AC58" i="1" s="1"/>
  <c r="H65" i="1"/>
  <c r="G74" i="1"/>
  <c r="G79" i="1"/>
  <c r="H80" i="1"/>
  <c r="F89" i="1" a="1"/>
  <c r="F89" i="1" s="1"/>
  <c r="D87" i="1" a="1"/>
  <c r="D87" i="1" s="1"/>
  <c r="G95" i="1"/>
  <c r="AE58" i="1"/>
  <c r="AB79" i="1" a="1"/>
  <c r="AB79" i="1" s="1"/>
  <c r="AD89" i="1" a="1"/>
  <c r="AD89" i="1" s="1"/>
  <c r="AE80" i="1"/>
  <c r="AC74" i="1" a="1"/>
  <c r="AC74" i="1" s="1"/>
  <c r="AF67" i="1"/>
  <c r="AD61" i="1" a="1"/>
  <c r="AD61" i="1" s="1"/>
  <c r="AB59" i="1" a="1"/>
  <c r="AB59" i="1" s="1"/>
  <c r="AE95" i="1"/>
  <c r="H82" i="1"/>
  <c r="AB65" i="1" a="1"/>
  <c r="AB65" i="1" s="1"/>
  <c r="AC95" i="1" a="1"/>
  <c r="AC95" i="1" s="1"/>
  <c r="AC79" i="1" a="1"/>
  <c r="AC79" i="1" s="1"/>
  <c r="AC61" i="1" a="1"/>
  <c r="AC61" i="1" s="1"/>
  <c r="AD95" i="1" a="1"/>
  <c r="AD95" i="1" s="1"/>
  <c r="F80" i="1" a="1"/>
  <c r="F80" i="1" s="1"/>
  <c r="AD79" i="1" a="1"/>
  <c r="AD79" i="1" s="1"/>
  <c r="AC93" i="1" a="1"/>
  <c r="AC93" i="1" s="1"/>
  <c r="F68" i="1" a="1"/>
  <c r="F68" i="1" s="1"/>
  <c r="F72" i="1" a="1"/>
  <c r="F72" i="1" s="1"/>
  <c r="D74" i="1" a="1"/>
  <c r="D74" i="1" s="1"/>
  <c r="G82" i="1"/>
  <c r="E80" i="1" a="1"/>
  <c r="E80" i="1" s="1"/>
  <c r="H88" i="1"/>
  <c r="F93" i="1" a="1"/>
  <c r="F93" i="1" s="1"/>
  <c r="D95" i="1" a="1"/>
  <c r="D95" i="1" s="1"/>
  <c r="AC65" i="1" a="1"/>
  <c r="AC65" i="1" s="1"/>
  <c r="AE79" i="1"/>
  <c r="AF88" i="1"/>
  <c r="AD82" i="1" a="1"/>
  <c r="AD82" i="1" s="1"/>
  <c r="AB80" i="1" a="1"/>
  <c r="AB80" i="1" s="1"/>
  <c r="AE73" i="1"/>
  <c r="AC67" i="1" a="1"/>
  <c r="AC67" i="1" s="1"/>
  <c r="AF60" i="1"/>
  <c r="AD93" i="1" a="1"/>
  <c r="AD93" i="1" s="1"/>
  <c r="AB95" i="1" a="1"/>
  <c r="AB95" i="1" s="1"/>
  <c r="E68" i="1" a="1"/>
  <c r="E68" i="1" s="1"/>
  <c r="G72" i="1"/>
  <c r="H73" i="1"/>
  <c r="I73" i="1" s="1"/>
  <c r="F82" i="1" a="1"/>
  <c r="F82" i="1" s="1"/>
  <c r="D80" i="1" a="1"/>
  <c r="D80" i="1" s="1"/>
  <c r="G88" i="1"/>
  <c r="G93" i="1"/>
  <c r="H94" i="1"/>
  <c r="AD65" i="1" a="1"/>
  <c r="AD65" i="1" s="1"/>
  <c r="AF79" i="1"/>
  <c r="AE88" i="1"/>
  <c r="AC82" i="1" a="1"/>
  <c r="AC82" i="1" s="1"/>
  <c r="AF75" i="1"/>
  <c r="AD73" i="1" a="1"/>
  <c r="AD73" i="1" s="1"/>
  <c r="AB67" i="1" a="1"/>
  <c r="AB67" i="1" s="1"/>
  <c r="AH67" i="1" s="1"/>
  <c r="AE60" i="1"/>
  <c r="AE93" i="1"/>
  <c r="AF94" i="1"/>
  <c r="AG94" i="1" s="1"/>
  <c r="D65" i="1" a="1"/>
  <c r="D65" i="1" s="1"/>
  <c r="H72" i="1"/>
  <c r="D86" i="1" a="1"/>
  <c r="D86" i="1" s="1"/>
  <c r="H93" i="1"/>
  <c r="AE65" i="1"/>
  <c r="AB86" i="1" a="1"/>
  <c r="AB86" i="1" s="1"/>
  <c r="AE75" i="1"/>
  <c r="AF93" i="1"/>
  <c r="Y43" i="1"/>
  <c r="Y13" i="1"/>
  <c r="Y49" i="1"/>
  <c r="Y52" i="1"/>
  <c r="Y51" i="1"/>
  <c r="Y42" i="1"/>
  <c r="Y41" i="1"/>
  <c r="Y31" i="1"/>
  <c r="Y23" i="1"/>
  <c r="Y22" i="1"/>
  <c r="Y25" i="1"/>
  <c r="Y16" i="1"/>
  <c r="Y6" i="1"/>
  <c r="Y4" i="1"/>
  <c r="A51" i="1"/>
  <c r="A52" i="1"/>
  <c r="A50" i="1"/>
  <c r="A49" i="1"/>
  <c r="A43" i="1"/>
  <c r="A42" i="1"/>
  <c r="A41" i="1"/>
  <c r="A24" i="1"/>
  <c r="A23" i="1"/>
  <c r="A25" i="1"/>
  <c r="A22" i="1"/>
  <c r="A33" i="1"/>
  <c r="A34" i="1"/>
  <c r="A32" i="1"/>
  <c r="A16" i="1"/>
  <c r="A14" i="1"/>
  <c r="A15" i="1"/>
  <c r="G59" i="1"/>
  <c r="E58" i="1" a="1"/>
  <c r="E58" i="1" s="1"/>
  <c r="H58" i="1"/>
  <c r="E60" i="1" a="1"/>
  <c r="E60" i="1" s="1"/>
  <c r="H60" i="1"/>
  <c r="H59" i="1"/>
  <c r="E59" i="1" a="1"/>
  <c r="E59" i="1" s="1"/>
  <c r="F58" i="1" a="1"/>
  <c r="F58" i="1" s="1"/>
  <c r="F61" i="1" a="1"/>
  <c r="F61" i="1" s="1"/>
  <c r="H61" i="1"/>
  <c r="F60" i="1" a="1"/>
  <c r="F60" i="1" s="1"/>
  <c r="F59" i="1" a="1"/>
  <c r="F59" i="1" s="1"/>
  <c r="E61" i="1" a="1"/>
  <c r="E61" i="1" s="1"/>
  <c r="D58" i="1" a="1"/>
  <c r="D58" i="1" s="1"/>
  <c r="G58" i="1"/>
  <c r="D61" i="1" a="1"/>
  <c r="D61" i="1" s="1"/>
  <c r="G61" i="1"/>
  <c r="D60" i="1" a="1"/>
  <c r="D60" i="1" s="1"/>
  <c r="G60" i="1"/>
  <c r="D59" i="1" a="1"/>
  <c r="D59" i="1" s="1"/>
  <c r="A6" i="1"/>
  <c r="A7" i="1"/>
  <c r="A4" i="1"/>
  <c r="AH68" i="1" l="1"/>
  <c r="AG68" i="1"/>
  <c r="AG59" i="1"/>
  <c r="AH61" i="1"/>
  <c r="AH93" i="1"/>
  <c r="I94" i="1"/>
  <c r="I88" i="1"/>
  <c r="AG79" i="1"/>
  <c r="AH82" i="1"/>
  <c r="AG80" i="1"/>
  <c r="I72" i="1"/>
  <c r="I74" i="1"/>
  <c r="J89" i="1"/>
  <c r="J80" i="1"/>
  <c r="I82" i="1"/>
  <c r="J79" i="1"/>
  <c r="I81" i="1"/>
  <c r="I75" i="1"/>
  <c r="I66" i="1"/>
  <c r="AH87" i="1"/>
  <c r="AG89" i="1"/>
  <c r="AH89" i="1"/>
  <c r="AG88" i="1"/>
  <c r="AH86" i="1"/>
  <c r="J72" i="1"/>
  <c r="AH73" i="1"/>
  <c r="AH58" i="1"/>
  <c r="AG61" i="1"/>
  <c r="I68" i="1"/>
  <c r="J65" i="1"/>
  <c r="J68" i="1"/>
  <c r="I67" i="1"/>
  <c r="I60" i="1"/>
  <c r="J93" i="1"/>
  <c r="J94" i="1"/>
  <c r="AH95" i="1"/>
  <c r="AH94" i="1"/>
  <c r="AG86" i="1"/>
  <c r="AG87" i="1"/>
  <c r="AH81" i="1"/>
  <c r="AH79" i="1"/>
  <c r="AG81" i="1"/>
  <c r="AG75" i="1"/>
  <c r="AG73" i="1"/>
  <c r="AG67" i="1"/>
  <c r="AG65" i="1"/>
  <c r="AG58" i="1"/>
  <c r="AH60" i="1"/>
  <c r="AH59" i="1"/>
  <c r="I96" i="1"/>
  <c r="J96" i="1"/>
  <c r="J95" i="1"/>
  <c r="J88" i="1"/>
  <c r="I87" i="1"/>
  <c r="J86" i="1"/>
  <c r="I89" i="1"/>
  <c r="J87" i="1"/>
  <c r="I79" i="1"/>
  <c r="I80" i="1"/>
  <c r="J75" i="1"/>
  <c r="J73" i="1"/>
  <c r="J74" i="1"/>
  <c r="J67" i="1"/>
  <c r="AH74" i="1"/>
  <c r="AG72" i="1"/>
  <c r="AH65" i="1"/>
  <c r="AG74" i="1"/>
  <c r="AG93" i="1"/>
  <c r="I93" i="1"/>
  <c r="J66" i="1"/>
  <c r="AH88" i="1"/>
  <c r="AH80" i="1"/>
  <c r="AG95" i="1"/>
  <c r="AH96" i="1"/>
  <c r="I95" i="1"/>
  <c r="I65" i="1"/>
  <c r="AH75" i="1"/>
  <c r="AG82" i="1"/>
  <c r="AH72" i="1"/>
  <c r="AG60" i="1"/>
  <c r="I86" i="1"/>
  <c r="AH66" i="1"/>
  <c r="AG96" i="1"/>
  <c r="J60" i="1"/>
  <c r="I59" i="1"/>
  <c r="J59" i="1"/>
  <c r="J58" i="1"/>
  <c r="I58" i="1"/>
  <c r="J61" i="1"/>
  <c r="I61" i="1"/>
  <c r="AA49" i="1" l="1" a="1"/>
  <c r="AA49" i="1" s="1"/>
  <c r="AA40" i="1" a="1"/>
  <c r="AA40" i="1" s="1"/>
  <c r="AA31" i="1" a="1"/>
  <c r="AA31" i="1" s="1"/>
  <c r="AA22" i="1" a="1"/>
  <c r="AA22" i="1" s="1"/>
  <c r="AA13" i="1" a="1"/>
  <c r="AA13" i="1" s="1"/>
  <c r="AA4" i="1" a="1"/>
  <c r="AA4" i="1" s="1"/>
  <c r="C31" i="1" a="1"/>
  <c r="C31" i="1" s="1"/>
  <c r="C13" i="1" a="1"/>
  <c r="C13" i="1" s="1"/>
  <c r="C22" i="1" a="1"/>
  <c r="C22" i="1" s="1"/>
  <c r="C49" i="1" a="1"/>
  <c r="C49" i="1" s="1"/>
  <c r="C4" i="1" a="1"/>
  <c r="C4" i="1" s="1"/>
  <c r="C40" i="1" a="1"/>
  <c r="C40" i="1" s="1"/>
  <c r="Z46" i="1" l="1"/>
  <c r="Y46" i="1" s="1"/>
  <c r="B19" i="1"/>
  <c r="A19" i="1" s="1"/>
  <c r="B10" i="1" l="1"/>
  <c r="A10" i="1" s="1"/>
  <c r="B46" i="1" l="1"/>
  <c r="A46" i="1" s="1"/>
  <c r="B37" i="1"/>
  <c r="A37" i="1" s="1"/>
  <c r="Z19" i="1"/>
  <c r="Y19" i="1" s="1"/>
  <c r="Z10" i="1"/>
  <c r="Y10" i="1" s="1"/>
  <c r="Z1" i="1"/>
  <c r="Y1" i="1" s="1"/>
  <c r="Z37" i="1" l="1"/>
  <c r="Y37" i="1" s="1"/>
  <c r="B1" i="1"/>
  <c r="A1" i="1" s="1"/>
  <c r="Z28" i="1" l="1"/>
  <c r="Y28" i="1" s="1"/>
  <c r="B28" i="1"/>
  <c r="A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<sst xmlns="http://schemas.openxmlformats.org/spreadsheetml/2006/main" count="530" uniqueCount="203">
  <si>
    <t>GROUP A Matches</t>
  </si>
  <si>
    <t>GROUP B Matches</t>
  </si>
  <si>
    <t>GROUP A STANDINGS</t>
  </si>
  <si>
    <t>GROUP B STANDINGS</t>
  </si>
  <si>
    <t>Team</t>
  </si>
  <si>
    <t>W</t>
  </si>
  <si>
    <t>D</t>
  </si>
  <si>
    <t>L</t>
  </si>
  <si>
    <t>GF</t>
  </si>
  <si>
    <t>GA</t>
  </si>
  <si>
    <t>+/-</t>
  </si>
  <si>
    <t>Pts</t>
  </si>
  <si>
    <t>-</t>
  </si>
  <si>
    <t>GROUP C Matches</t>
  </si>
  <si>
    <t>GROUP D Matches</t>
  </si>
  <si>
    <t>GROUP C STANDINGS</t>
  </si>
  <si>
    <t>GROUP D STANDINGS</t>
  </si>
  <si>
    <t>GROUP E Matches</t>
  </si>
  <si>
    <t>GROUP F Matches</t>
  </si>
  <si>
    <t>GROUP E STANDINGS</t>
  </si>
  <si>
    <t>GROUP F STANDINGS</t>
  </si>
  <si>
    <t>GROUP G Matches</t>
  </si>
  <si>
    <t>GROUP H Matches</t>
  </si>
  <si>
    <t>GROUP G STANDINGS</t>
  </si>
  <si>
    <t>GROUP H STANDINGS</t>
  </si>
  <si>
    <t>GROUP I Matches</t>
  </si>
  <si>
    <t>GROUP J Matches</t>
  </si>
  <si>
    <t>GROUP I STANDINGS</t>
  </si>
  <si>
    <t>GROUP J STANDINGS</t>
  </si>
  <si>
    <t>GROUP K Matches</t>
  </si>
  <si>
    <t>GROUP L Matches</t>
  </si>
  <si>
    <t>GROUP K STANDINGS</t>
  </si>
  <si>
    <t>GROUP L STANDINGS</t>
  </si>
  <si>
    <t>Mexico</t>
  </si>
  <si>
    <t>South Africa</t>
  </si>
  <si>
    <t>GROUP A</t>
  </si>
  <si>
    <t>GROUP C</t>
  </si>
  <si>
    <t>Brazil</t>
  </si>
  <si>
    <t>Morocco</t>
  </si>
  <si>
    <t>Haiti</t>
  </si>
  <si>
    <t>Scotland</t>
  </si>
  <si>
    <t>South Korea</t>
  </si>
  <si>
    <t>GROUP E</t>
  </si>
  <si>
    <t>Germany</t>
  </si>
  <si>
    <t>Curacao</t>
  </si>
  <si>
    <t>Ivory Coast</t>
  </si>
  <si>
    <t>Ecuador</t>
  </si>
  <si>
    <t>GROUP G</t>
  </si>
  <si>
    <t>Belgium</t>
  </si>
  <si>
    <t>Egypt</t>
  </si>
  <si>
    <t>Iran</t>
  </si>
  <si>
    <t>New Zealand</t>
  </si>
  <si>
    <t>GROUP I</t>
  </si>
  <si>
    <t>GROUP K</t>
  </si>
  <si>
    <t>France</t>
  </si>
  <si>
    <t>Senegal</t>
  </si>
  <si>
    <t>Norway</t>
  </si>
  <si>
    <t>Portugal</t>
  </si>
  <si>
    <t>Congo</t>
  </si>
  <si>
    <t>Uzbekistan</t>
  </si>
  <si>
    <t>Colombia</t>
  </si>
  <si>
    <t>Canada</t>
  </si>
  <si>
    <t>Qatar</t>
  </si>
  <si>
    <t>Switzerland</t>
  </si>
  <si>
    <t>GROUP B</t>
  </si>
  <si>
    <t>GROUP D</t>
  </si>
  <si>
    <t>USA</t>
  </si>
  <si>
    <t>Paraguay</t>
  </si>
  <si>
    <t>Australia</t>
  </si>
  <si>
    <t>Turkey</t>
  </si>
  <si>
    <t>GROUP F</t>
  </si>
  <si>
    <t>Netherlands</t>
  </si>
  <si>
    <t>Japan</t>
  </si>
  <si>
    <t>Tunisia</t>
  </si>
  <si>
    <t>GROUP H</t>
  </si>
  <si>
    <t>GROUP J</t>
  </si>
  <si>
    <t>Argentina</t>
  </si>
  <si>
    <t>Spain</t>
  </si>
  <si>
    <t>Cabo Verde</t>
  </si>
  <si>
    <t>Saudi Arabia</t>
  </si>
  <si>
    <t>Uruguay</t>
  </si>
  <si>
    <t>Algeria</t>
  </si>
  <si>
    <t>Austria</t>
  </si>
  <si>
    <t>Jordan</t>
  </si>
  <si>
    <t>GROUP L</t>
  </si>
  <si>
    <t>England</t>
  </si>
  <si>
    <t>Croatia</t>
  </si>
  <si>
    <t>Ghana</t>
  </si>
  <si>
    <t>Panama</t>
  </si>
  <si>
    <t>1. Which team will be the first to score 5 or more goals in one match?</t>
  </si>
  <si>
    <t xml:space="preserve">2. The first player to score 3 goals in one match will be from this team: </t>
  </si>
  <si>
    <t>3. Which team will be the first to be awarded a penalty shot?</t>
  </si>
  <si>
    <t>4. The first own-goal will be scored by a player from this team:</t>
  </si>
  <si>
    <r>
      <t>5. How many goals will be scored via penalty shot?</t>
    </r>
    <r>
      <rPr>
        <sz val="10"/>
        <color theme="1"/>
        <rFont val="Verdana"/>
        <family val="2"/>
      </rPr>
      <t xml:space="preserve"> (not including shootouts)</t>
    </r>
  </si>
  <si>
    <t>6. The first "straight" red card of the tournament will be shown to this team:</t>
  </si>
  <si>
    <t>7. The first "two yellow" red card of the tournament will be shown to this team:</t>
  </si>
  <si>
    <t>8. Total number of red cards in the tournament:</t>
  </si>
  <si>
    <t>9. Total number of yellow cards in the tournament:</t>
  </si>
  <si>
    <t>10. The highest number of yellow cards shown in one game will be to this team:</t>
  </si>
  <si>
    <t>12. Total number of games that will go to a penalty shootout:</t>
  </si>
  <si>
    <t xml:space="preserve">13. The first goal in the Finals match will be scored between these minutes: </t>
  </si>
  <si>
    <t>14. How many yellow cards will be shown in the Finals match?</t>
  </si>
  <si>
    <t>15. How many red cards will be shown in the Finals match?</t>
  </si>
  <si>
    <t>16. Will the World Cup Final go to penalty shootout?</t>
  </si>
  <si>
    <t>17. Which team will have the fastest goal in this tournament?</t>
  </si>
  <si>
    <t>19. First Group Stage game to have 2 penalties awarded:</t>
  </si>
  <si>
    <t>20. First Group Stage game to have 0 cards shown:</t>
  </si>
  <si>
    <t>18. Group Stage game with the highest total of combined goals?</t>
  </si>
  <si>
    <t>LUCKY BONUS QUESTIONS</t>
  </si>
  <si>
    <t>Yes</t>
  </si>
  <si>
    <t>No</t>
  </si>
  <si>
    <t>NO TEAM</t>
  </si>
  <si>
    <t>NO REDS SHOWN</t>
  </si>
  <si>
    <t>NO PLAYER</t>
  </si>
  <si>
    <t>NO OWN-GOALS</t>
  </si>
  <si>
    <t>1 - 12</t>
  </si>
  <si>
    <t>13 - 24</t>
  </si>
  <si>
    <t>25 - 36</t>
  </si>
  <si>
    <t>37 - 48</t>
  </si>
  <si>
    <t>49 - 60</t>
  </si>
  <si>
    <t>61 - 72</t>
  </si>
  <si>
    <t>73 - 84</t>
  </si>
  <si>
    <t>85 - 96</t>
  </si>
  <si>
    <t>97 - 108</t>
  </si>
  <si>
    <t>109 - 120</t>
  </si>
  <si>
    <t>Mexico vs South Africa</t>
  </si>
  <si>
    <t>USA vs Paraguay</t>
  </si>
  <si>
    <t>Qatar vs Switzerland</t>
  </si>
  <si>
    <t>Brazil vs Morocco</t>
  </si>
  <si>
    <t>Haiti vs Scotland</t>
  </si>
  <si>
    <t>Australia vs Turkey</t>
  </si>
  <si>
    <t>Germany vs Curacao</t>
  </si>
  <si>
    <t>Netherlands vs Japan</t>
  </si>
  <si>
    <t>Ivory Coast vs Ecuador</t>
  </si>
  <si>
    <t>Spain vs Cabo Verde</t>
  </si>
  <si>
    <t>Belgium vs Egypt</t>
  </si>
  <si>
    <t>Saudi Arabia vs Uruguay</t>
  </si>
  <si>
    <t>Iran vs New Zealand</t>
  </si>
  <si>
    <t>France vs Senegal</t>
  </si>
  <si>
    <t>Bolivia vs Norway</t>
  </si>
  <si>
    <t>Argentina vs Algeria</t>
  </si>
  <si>
    <t>Austria vs Jordan</t>
  </si>
  <si>
    <t>Portugal vs Congo</t>
  </si>
  <si>
    <t>England vs Croatia</t>
  </si>
  <si>
    <t>Ghana vs Panama</t>
  </si>
  <si>
    <t>Uzbekistan vs Colombia</t>
  </si>
  <si>
    <t>Canada vs Qatar</t>
  </si>
  <si>
    <t>Mexico vs Korea</t>
  </si>
  <si>
    <t>USA vs Australia</t>
  </si>
  <si>
    <t>Scotland vs Morocco</t>
  </si>
  <si>
    <t>Brazil vs Haiti</t>
  </si>
  <si>
    <t>Turkey vs Paraguay</t>
  </si>
  <si>
    <t>Germany vs Ivory Coast</t>
  </si>
  <si>
    <t>Ecuador vs Curacao</t>
  </si>
  <si>
    <t>Tunisia vs Japan</t>
  </si>
  <si>
    <t>Spain vs Saudi Arabia</t>
  </si>
  <si>
    <t>Belgium vs Iran</t>
  </si>
  <si>
    <t>Uruguay vs Cabo Verde</t>
  </si>
  <si>
    <t>New Zealand vs Egypt</t>
  </si>
  <si>
    <t>Argentina vs Austria</t>
  </si>
  <si>
    <t>France vs Bolivia</t>
  </si>
  <si>
    <t>Norway vs Senegal</t>
  </si>
  <si>
    <t>Jordan vs Algeria</t>
  </si>
  <si>
    <t>Portugal vs Uzbekistan</t>
  </si>
  <si>
    <t>England vs Ghana</t>
  </si>
  <si>
    <t>Panama vs Croatia</t>
  </si>
  <si>
    <t>Colombia vs Congo</t>
  </si>
  <si>
    <t>Switzerland vs Canada</t>
  </si>
  <si>
    <t>Scotland vs Brazil</t>
  </si>
  <si>
    <t>Morocco vs Haiti</t>
  </si>
  <si>
    <t>South Africa vs Korea</t>
  </si>
  <si>
    <t>Curacao vs Ivory Coast</t>
  </si>
  <si>
    <t>Ecuador vs Germany</t>
  </si>
  <si>
    <t>Tunisia vs Netherlands</t>
  </si>
  <si>
    <t>Turkey vs USA</t>
  </si>
  <si>
    <t>Paraguay vs Australia</t>
  </si>
  <si>
    <t>Norway vs France</t>
  </si>
  <si>
    <t>Senegal vs Bolivia</t>
  </si>
  <si>
    <t>Cabo Verde vs Saudi Arabia</t>
  </si>
  <si>
    <t>Uruguay vs Spain</t>
  </si>
  <si>
    <t>Egypt vs Iran</t>
  </si>
  <si>
    <t>New Zealand vs Belgium</t>
  </si>
  <si>
    <t>Panama vs England</t>
  </si>
  <si>
    <t>Croatia vs Ghana</t>
  </si>
  <si>
    <t>Colombia vs Portugal</t>
  </si>
  <si>
    <t>Congo vs Uzbekistan</t>
  </si>
  <si>
    <t>Algeria vs Austria</t>
  </si>
  <si>
    <t>Jordan vs Argentina</t>
  </si>
  <si>
    <t>NONE</t>
  </si>
  <si>
    <t>Czechia</t>
  </si>
  <si>
    <t>Bosnia</t>
  </si>
  <si>
    <t>Sweden</t>
  </si>
  <si>
    <t>Iraq</t>
  </si>
  <si>
    <t>Canada vs Bosnia</t>
  </si>
  <si>
    <t>Switzerland vs Bosnia</t>
  </si>
  <si>
    <t>Bosnia vs Qatar</t>
  </si>
  <si>
    <t>Korea vs Czechia</t>
  </si>
  <si>
    <t>Czechia vs South Africa</t>
  </si>
  <si>
    <t>Czechia vs Mexico</t>
  </si>
  <si>
    <t>Sweden vs Tunisia</t>
  </si>
  <si>
    <t>Netherlands vs Sweden</t>
  </si>
  <si>
    <t>Japan vs Sweden</t>
  </si>
  <si>
    <r>
      <t xml:space="preserve">11. Total goals scored in tournament not incl. penalty shootouts </t>
    </r>
    <r>
      <rPr>
        <sz val="10"/>
        <color theme="1"/>
        <rFont val="Verdana"/>
        <family val="2"/>
      </rPr>
      <t>(based on your predictions)</t>
    </r>
    <r>
      <rPr>
        <sz val="11"/>
        <color theme="1"/>
        <rFont val="Verdana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</si>
</sst>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;;;"/>
  </numFmts>
  <fonts count="24" x14ac:knownFonts="1">
    <font>
      <sz val="11"/>
      <color theme="1"/>
      <name val="Aptos Narrow"/>
      <family val="2"/>
      <scheme val="minor"/>
    </font>
    <font>
      <sz val="8"/>
      <name val="Verdana"/>
      <family val="2"/>
    </font>
    <font>
      <b/>
      <sz val="8"/>
      <color indexed="9"/>
      <name val="Verdana"/>
      <family val="2"/>
    </font>
    <font>
      <sz val="7"/>
      <name val="Tahoma"/>
      <family val="2"/>
    </font>
    <font>
      <sz val="9"/>
      <name val="Arial Narrow"/>
      <family val="2"/>
    </font>
    <font>
      <b/>
      <sz val="8"/>
      <name val="Tahoma"/>
      <family val="2"/>
    </font>
    <font>
      <sz val="8"/>
      <color indexed="8"/>
      <name val="Verdana"/>
      <family val="2"/>
    </font>
    <font>
      <b/>
      <i/>
      <sz val="8"/>
      <color theme="0" tint="-0.499984740745262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sz val="11"/>
      <color rgb="FF006100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26"/>
      <color rgb="FF006100"/>
      <name val="Verdana"/>
      <family val="2"/>
    </font>
    <font>
      <b/>
      <sz val="10"/>
      <color theme="9"/>
      <name val="Verdana"/>
      <family val="2"/>
    </font>
    <font>
      <sz val="10"/>
      <color theme="0"/>
      <name val="Century Gothic"/>
      <family val="2"/>
    </font>
    <font>
      <sz val="11"/>
      <color theme="0"/>
      <name val="Verdana"/>
      <family val="2"/>
    </font>
    <font>
      <sz val="10"/>
      <color theme="0"/>
      <name val="Arial"/>
      <family val="2"/>
    </font>
    <font>
      <b/>
      <sz val="10"/>
      <color rgb="FF006100"/>
      <name val="Verdana"/>
      <family val="2"/>
    </font>
    <font>
      <sz val="10"/>
      <color rgb="FF006100"/>
      <name val="Verdana"/>
      <family val="2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Verdana"/>
      <family val="2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2"/>
        <bgColor indexed="39"/>
      </patternFill>
    </fill>
    <fill>
      <patternFill patternType="solid">
        <fgColor indexed="8"/>
        <bgColor indexed="58"/>
      </patternFill>
    </fill>
    <fill>
      <patternFill patternType="solid">
        <fgColor theme="0" tint="-0.249977111117893"/>
        <bgColor indexed="31"/>
      </patternFill>
    </fill>
    <fill>
      <patternFill patternType="solid">
        <fgColor indexed="27"/>
        <bgColor indexed="4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0" fillId="8" borderId="0" applyNumberFormat="0" applyBorder="0" applyAlignment="0" applyProtection="0"/>
    <xf numFmtId="0" fontId="20" fillId="10" borderId="0" applyNumberFormat="0" applyBorder="0" applyAlignment="0" applyProtection="0"/>
  </cellStyleXfs>
  <cellXfs count="88">
    <xf numFmtId="0" fontId="0" fillId="0" borderId="0" xfId="0"/>
    <xf numFmtId="164" fontId="1" fillId="2" borderId="1" xfId="0" applyNumberFormat="1" applyFont="1" applyFill="1" applyBorder="1" applyProtection="1">
      <protection hidden="1"/>
    </xf>
    <xf numFmtId="164" fontId="1" fillId="2" borderId="2" xfId="0" applyNumberFormat="1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2" borderId="3" xfId="0" applyFont="1" applyFill="1" applyBorder="1" applyProtection="1">
      <protection hidden="1"/>
    </xf>
    <xf numFmtId="0" fontId="1" fillId="4" borderId="5" xfId="0" applyFont="1" applyFill="1" applyBorder="1" applyAlignment="1" applyProtection="1">
      <alignment horizontal="center"/>
      <protection hidden="1"/>
    </xf>
    <xf numFmtId="0" fontId="1" fillId="4" borderId="6" xfId="0" applyFont="1" applyFill="1" applyBorder="1" applyProtection="1">
      <protection hidden="1"/>
    </xf>
    <xf numFmtId="0" fontId="1" fillId="2" borderId="7" xfId="0" applyFont="1" applyFill="1" applyBorder="1" applyProtection="1">
      <protection hidden="1"/>
    </xf>
    <xf numFmtId="0" fontId="1" fillId="2" borderId="0" xfId="0" applyFont="1" applyFill="1" applyProtection="1">
      <protection hidden="1"/>
    </xf>
    <xf numFmtId="0" fontId="1" fillId="2" borderId="8" xfId="0" applyFont="1" applyFill="1" applyBorder="1" applyProtection="1">
      <protection hidden="1"/>
    </xf>
    <xf numFmtId="0" fontId="2" fillId="0" borderId="9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1" fillId="4" borderId="12" xfId="0" applyFont="1" applyFill="1" applyBorder="1" applyProtection="1">
      <protection hidden="1"/>
    </xf>
    <xf numFmtId="0" fontId="1" fillId="4" borderId="13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0" borderId="8" xfId="0" applyFont="1" applyBorder="1" applyProtection="1">
      <protection hidden="1"/>
    </xf>
    <xf numFmtId="0" fontId="1" fillId="5" borderId="15" xfId="0" applyFont="1" applyFill="1" applyBorder="1" applyAlignment="1" applyProtection="1">
      <alignment horizontal="center"/>
      <protection hidden="1"/>
    </xf>
    <xf numFmtId="0" fontId="3" fillId="5" borderId="16" xfId="0" applyFont="1" applyFill="1" applyBorder="1" applyAlignment="1" applyProtection="1">
      <alignment horizontal="center"/>
      <protection hidden="1"/>
    </xf>
    <xf numFmtId="0" fontId="3" fillId="5" borderId="17" xfId="0" applyFont="1" applyFill="1" applyBorder="1" applyAlignment="1" applyProtection="1">
      <alignment horizontal="center"/>
      <protection hidden="1"/>
    </xf>
    <xf numFmtId="0" fontId="4" fillId="5" borderId="16" xfId="0" applyFont="1" applyFill="1" applyBorder="1" applyAlignment="1" applyProtection="1">
      <alignment horizontal="center"/>
      <protection hidden="1"/>
    </xf>
    <xf numFmtId="0" fontId="5" fillId="5" borderId="15" xfId="0" applyFont="1" applyFill="1" applyBorder="1" applyAlignment="1" applyProtection="1">
      <alignment horizontal="center"/>
      <protection hidden="1"/>
    </xf>
    <xf numFmtId="164" fontId="1" fillId="2" borderId="7" xfId="0" applyNumberFormat="1" applyFont="1" applyFill="1" applyBorder="1" applyProtection="1">
      <protection hidden="1"/>
    </xf>
    <xf numFmtId="0" fontId="1" fillId="0" borderId="0" xfId="0" applyFont="1" applyAlignment="1" applyProtection="1">
      <alignment horizontal="right" shrinkToFit="1"/>
      <protection hidden="1"/>
    </xf>
    <xf numFmtId="0" fontId="6" fillId="0" borderId="0" xfId="0" applyFont="1" applyProtection="1">
      <protection hidden="1"/>
    </xf>
    <xf numFmtId="0" fontId="1" fillId="0" borderId="0" xfId="0" applyFont="1" applyAlignment="1" applyProtection="1">
      <alignment horizontal="left" shrinkToFit="1"/>
      <protection hidden="1"/>
    </xf>
    <xf numFmtId="0" fontId="1" fillId="4" borderId="12" xfId="0" applyFont="1" applyFill="1" applyBorder="1" applyAlignment="1" applyProtection="1">
      <alignment horizontal="left" shrinkToFit="1"/>
      <protection hidden="1"/>
    </xf>
    <xf numFmtId="0" fontId="1" fillId="4" borderId="13" xfId="0" applyFont="1" applyFill="1" applyBorder="1" applyAlignment="1" applyProtection="1">
      <alignment horizontal="left" shrinkToFit="1"/>
      <protection hidden="1"/>
    </xf>
    <xf numFmtId="0" fontId="1" fillId="2" borderId="15" xfId="0" applyFont="1" applyFill="1" applyBorder="1" applyAlignment="1" applyProtection="1">
      <alignment horizontal="center"/>
      <protection hidden="1"/>
    </xf>
    <xf numFmtId="0" fontId="3" fillId="2" borderId="16" xfId="0" applyFont="1" applyFill="1" applyBorder="1" applyAlignment="1" applyProtection="1">
      <alignment horizontal="center"/>
      <protection hidden="1"/>
    </xf>
    <xf numFmtId="0" fontId="3" fillId="2" borderId="17" xfId="0" applyFont="1" applyFill="1" applyBorder="1" applyAlignment="1" applyProtection="1">
      <alignment horizontal="center"/>
      <protection hidden="1"/>
    </xf>
    <xf numFmtId="0" fontId="4" fillId="2" borderId="16" xfId="0" applyFont="1" applyFill="1" applyBorder="1" applyAlignment="1" applyProtection="1">
      <alignment horizontal="center"/>
      <protection hidden="1"/>
    </xf>
    <xf numFmtId="0" fontId="5" fillId="2" borderId="15" xfId="0" applyFont="1" applyFill="1" applyBorder="1" applyAlignment="1" applyProtection="1">
      <alignment horizontal="center"/>
      <protection hidden="1"/>
    </xf>
    <xf numFmtId="0" fontId="1" fillId="5" borderId="19" xfId="0" applyFont="1" applyFill="1" applyBorder="1" applyAlignment="1" applyProtection="1">
      <alignment shrinkToFit="1"/>
      <protection hidden="1"/>
    </xf>
    <xf numFmtId="0" fontId="1" fillId="5" borderId="0" xfId="0" applyFont="1" applyFill="1" applyAlignment="1" applyProtection="1">
      <alignment horizontal="center" shrinkToFit="1"/>
      <protection hidden="1"/>
    </xf>
    <xf numFmtId="0" fontId="1" fillId="5" borderId="8" xfId="0" applyFont="1" applyFill="1" applyBorder="1" applyAlignment="1" applyProtection="1">
      <alignment horizontal="center" shrinkToFit="1"/>
      <protection hidden="1"/>
    </xf>
    <xf numFmtId="0" fontId="8" fillId="5" borderId="19" xfId="0" applyFont="1" applyFill="1" applyBorder="1" applyAlignment="1" applyProtection="1">
      <alignment horizontal="center" shrinkToFit="1"/>
      <protection hidden="1"/>
    </xf>
    <xf numFmtId="0" fontId="1" fillId="2" borderId="19" xfId="0" applyFont="1" applyFill="1" applyBorder="1" applyAlignment="1" applyProtection="1">
      <alignment shrinkToFit="1"/>
      <protection hidden="1"/>
    </xf>
    <xf numFmtId="0" fontId="1" fillId="2" borderId="0" xfId="0" applyFont="1" applyFill="1" applyAlignment="1" applyProtection="1">
      <alignment horizontal="center" shrinkToFit="1"/>
      <protection hidden="1"/>
    </xf>
    <xf numFmtId="0" fontId="1" fillId="2" borderId="8" xfId="0" applyFont="1" applyFill="1" applyBorder="1" applyAlignment="1" applyProtection="1">
      <alignment horizontal="center" shrinkToFit="1"/>
      <protection hidden="1"/>
    </xf>
    <xf numFmtId="0" fontId="8" fillId="2" borderId="19" xfId="0" applyFont="1" applyFill="1" applyBorder="1" applyAlignment="1" applyProtection="1">
      <alignment horizontal="center" shrinkToFit="1"/>
      <protection hidden="1"/>
    </xf>
    <xf numFmtId="0" fontId="1" fillId="7" borderId="0" xfId="0" applyFont="1" applyFill="1" applyAlignment="1" applyProtection="1">
      <alignment horizontal="center" shrinkToFit="1"/>
      <protection hidden="1"/>
    </xf>
    <xf numFmtId="0" fontId="1" fillId="5" borderId="20" xfId="0" applyFont="1" applyFill="1" applyBorder="1" applyAlignment="1" applyProtection="1">
      <alignment shrinkToFit="1"/>
      <protection hidden="1"/>
    </xf>
    <xf numFmtId="0" fontId="1" fillId="5" borderId="14" xfId="0" applyFont="1" applyFill="1" applyBorder="1" applyAlignment="1" applyProtection="1">
      <alignment horizontal="center" shrinkToFit="1"/>
      <protection hidden="1"/>
    </xf>
    <xf numFmtId="0" fontId="1" fillId="5" borderId="21" xfId="0" applyFont="1" applyFill="1" applyBorder="1" applyAlignment="1" applyProtection="1">
      <alignment horizontal="center" shrinkToFit="1"/>
      <protection hidden="1"/>
    </xf>
    <xf numFmtId="0" fontId="8" fillId="5" borderId="20" xfId="0" applyFont="1" applyFill="1" applyBorder="1" applyAlignment="1" applyProtection="1">
      <alignment horizontal="center" shrinkToFit="1"/>
      <protection hidden="1"/>
    </xf>
    <xf numFmtId="0" fontId="1" fillId="2" borderId="20" xfId="0" applyFont="1" applyFill="1" applyBorder="1" applyAlignment="1" applyProtection="1">
      <alignment shrinkToFit="1"/>
      <protection hidden="1"/>
    </xf>
    <xf numFmtId="0" fontId="1" fillId="2" borderId="14" xfId="0" applyFont="1" applyFill="1" applyBorder="1" applyAlignment="1" applyProtection="1">
      <alignment horizontal="center" shrinkToFit="1"/>
      <protection hidden="1"/>
    </xf>
    <xf numFmtId="0" fontId="1" fillId="2" borderId="21" xfId="0" applyFont="1" applyFill="1" applyBorder="1" applyAlignment="1" applyProtection="1">
      <alignment horizontal="center" shrinkToFit="1"/>
      <protection hidden="1"/>
    </xf>
    <xf numFmtId="0" fontId="8" fillId="2" borderId="20" xfId="0" applyFont="1" applyFill="1" applyBorder="1" applyAlignment="1" applyProtection="1">
      <alignment horizontal="center" shrinkToFit="1"/>
      <protection hidden="1"/>
    </xf>
    <xf numFmtId="0" fontId="1" fillId="2" borderId="22" xfId="0" applyFont="1" applyFill="1" applyBorder="1" applyProtection="1">
      <protection hidden="1"/>
    </xf>
    <xf numFmtId="0" fontId="1" fillId="2" borderId="14" xfId="0" applyFont="1" applyFill="1" applyBorder="1" applyProtection="1">
      <protection hidden="1"/>
    </xf>
    <xf numFmtId="0" fontId="1" fillId="2" borderId="21" xfId="0" applyFont="1" applyFill="1" applyBorder="1" applyProtection="1">
      <protection hidden="1"/>
    </xf>
    <xf numFmtId="0" fontId="1" fillId="0" borderId="22" xfId="0" applyFont="1" applyBorder="1" applyProtection="1">
      <protection hidden="1"/>
    </xf>
    <xf numFmtId="0" fontId="1" fillId="0" borderId="14" xfId="0" applyFont="1" applyBorder="1" applyProtection="1">
      <protection hidden="1"/>
    </xf>
    <xf numFmtId="164" fontId="9" fillId="0" borderId="14" xfId="0" applyNumberFormat="1" applyFont="1" applyBorder="1" applyProtection="1">
      <protection hidden="1"/>
    </xf>
    <xf numFmtId="0" fontId="1" fillId="0" borderId="14" xfId="0" applyFont="1" applyBorder="1" applyAlignment="1" applyProtection="1">
      <alignment horizontal="left"/>
      <protection hidden="1"/>
    </xf>
    <xf numFmtId="0" fontId="1" fillId="4" borderId="12" xfId="0" applyFont="1" applyFill="1" applyBorder="1" applyAlignment="1" applyProtection="1">
      <alignment horizontal="left"/>
      <protection hidden="1"/>
    </xf>
    <xf numFmtId="0" fontId="1" fillId="0" borderId="21" xfId="0" applyFont="1" applyBorder="1" applyAlignment="1" applyProtection="1">
      <alignment horizontal="left"/>
      <protection hidden="1"/>
    </xf>
    <xf numFmtId="0" fontId="1" fillId="4" borderId="12" xfId="0" applyFont="1" applyFill="1" applyBorder="1" applyAlignment="1" applyProtection="1">
      <alignment horizontal="center"/>
      <protection hidden="1"/>
    </xf>
    <xf numFmtId="0" fontId="1" fillId="0" borderId="7" xfId="0" applyFont="1" applyBorder="1" applyProtection="1">
      <protection hidden="1"/>
    </xf>
    <xf numFmtId="0" fontId="1" fillId="4" borderId="24" xfId="0" applyFont="1" applyFill="1" applyBorder="1" applyProtection="1">
      <protection hidden="1"/>
    </xf>
    <xf numFmtId="0" fontId="1" fillId="4" borderId="25" xfId="0" applyFont="1" applyFill="1" applyBorder="1" applyProtection="1">
      <protection hidden="1"/>
    </xf>
    <xf numFmtId="0" fontId="11" fillId="0" borderId="0" xfId="0" applyFont="1"/>
    <xf numFmtId="0" fontId="11" fillId="9" borderId="0" xfId="0" applyFont="1" applyFill="1"/>
    <xf numFmtId="0" fontId="15" fillId="0" borderId="0" xfId="0" applyFont="1" applyProtection="1">
      <protection hidden="1"/>
    </xf>
    <xf numFmtId="49" fontId="15" fillId="0" borderId="0" xfId="0" applyNumberFormat="1" applyFont="1" applyAlignment="1" applyProtection="1">
      <alignment horizontal="center" vertical="center"/>
      <protection hidden="1"/>
    </xf>
    <xf numFmtId="0" fontId="16" fillId="0" borderId="0" xfId="0" applyFont="1"/>
    <xf numFmtId="0" fontId="17" fillId="0" borderId="0" xfId="0" applyFont="1" applyProtection="1">
      <protection hidden="1"/>
    </xf>
    <xf numFmtId="0" fontId="14" fillId="0" borderId="26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" fillId="6" borderId="18" xfId="0" applyFont="1" applyFill="1" applyBorder="1" applyAlignment="1" applyProtection="1">
      <alignment horizontal="center" shrinkToFit="1"/>
      <protection locked="0"/>
    </xf>
    <xf numFmtId="0" fontId="19" fillId="11" borderId="0" xfId="1" applyFont="1" applyFill="1" applyBorder="1" applyAlignment="1">
      <alignment vertical="center"/>
    </xf>
    <xf numFmtId="0" fontId="18" fillId="11" borderId="0" xfId="1" applyFont="1" applyFill="1" applyBorder="1" applyAlignment="1">
      <alignment vertical="center"/>
    </xf>
    <xf numFmtId="0" fontId="22" fillId="0" borderId="0" xfId="0" applyFont="1"/>
    <xf numFmtId="0" fontId="23" fillId="0" borderId="0" xfId="0" applyFont="1" applyProtection="1">
      <protection hidden="1"/>
    </xf>
    <xf numFmtId="0" fontId="14" fillId="9" borderId="30" xfId="0" applyFont="1" applyFill="1" applyBorder="1" applyAlignment="1">
      <alignment horizontal="center" vertical="center"/>
    </xf>
    <xf numFmtId="0" fontId="7" fillId="2" borderId="19" xfId="0" applyFont="1" applyFill="1" applyBorder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0" fontId="2" fillId="3" borderId="23" xfId="0" applyFont="1" applyFill="1" applyBorder="1" applyAlignment="1" applyProtection="1">
      <alignment horizontal="center"/>
      <protection hidden="1"/>
    </xf>
    <xf numFmtId="0" fontId="1" fillId="2" borderId="14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 vertical="center"/>
      <protection locked="0"/>
    </xf>
    <xf numFmtId="0" fontId="14" fillId="0" borderId="28" xfId="0" applyFont="1" applyBorder="1" applyAlignment="1" applyProtection="1">
      <alignment horizontal="center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3" fillId="11" borderId="0" xfId="1" applyFont="1" applyFill="1" applyBorder="1" applyAlignment="1">
      <alignment horizontal="center" vertical="center"/>
    </xf>
    <xf numFmtId="0" fontId="21" fillId="10" borderId="0" xfId="2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40">
    <dxf>
      <fill>
        <patternFill>
          <bgColor theme="9" tint="0.59996337778862885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condense val="0"/>
        <extend val="0"/>
        <color indexed="23"/>
      </font>
    </dxf>
    <dxf>
      <font>
        <b val="0"/>
        <i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thin">
          <color indexed="44"/>
        </left>
        <right style="thin">
          <color indexed="44"/>
        </right>
        <top style="thin">
          <color indexed="44"/>
        </top>
        <bottom style="thin">
          <color indexed="44"/>
        </bottom>
      </border>
    </dxf>
    <dxf>
      <font>
        <b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hair">
          <color indexed="44"/>
        </left>
        <right style="hair">
          <color indexed="44"/>
        </right>
        <top style="hair">
          <color indexed="44"/>
        </top>
        <bottom style="hair">
          <color indexed="44"/>
        </bottom>
      </border>
    </dxf>
    <dxf>
      <font>
        <b/>
        <i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hair">
          <color indexed="44"/>
        </left>
        <right style="hair">
          <color indexed="44"/>
        </right>
        <top style="hair">
          <color indexed="44"/>
        </top>
        <bottom style="hair">
          <color indexed="44"/>
        </bottom>
      </border>
    </dxf>
    <dxf>
      <font>
        <b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thin">
          <color indexed="44"/>
        </left>
        <right style="thin">
          <color indexed="44"/>
        </right>
        <top style="thin">
          <color indexed="44"/>
        </top>
        <bottom style="thin">
          <color indexed="44"/>
        </bottom>
      </border>
    </dxf>
    <dxf>
      <font>
        <b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hair">
          <color indexed="44"/>
        </left>
        <right style="hair">
          <color indexed="44"/>
        </right>
        <top style="hair">
          <color indexed="44"/>
        </top>
        <bottom style="hair">
          <color indexed="44"/>
        </bottom>
      </border>
    </dxf>
    <dxf>
      <font>
        <b/>
        <i val="0"/>
        <condense val="0"/>
        <extend val="0"/>
        <color indexed="8"/>
      </font>
      <fill>
        <patternFill patternType="solid">
          <fgColor indexed="26"/>
          <bgColor indexed="9"/>
        </patternFill>
      </fill>
      <border>
        <left style="hair">
          <color indexed="44"/>
        </left>
        <right style="hair">
          <color indexed="44"/>
        </right>
        <top style="hair">
          <color indexed="44"/>
        </top>
        <bottom style="hair">
          <color indexed="44"/>
        </bottom>
      </border>
    </dxf>
    <dxf>
      <font>
        <b val="0"/>
        <condense val="0"/>
        <extend val="0"/>
        <color indexed="23"/>
      </font>
    </dxf>
    <dxf>
      <font>
        <b val="0"/>
        <i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 val="0"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  <dxf>
      <font>
        <b/>
        <i val="0"/>
        <color theme="9" tint="-0.24994659260841701"/>
      </font>
      <fill>
        <patternFill patternType="solid">
          <bgColor theme="9" tint="0.79998168889431442"/>
        </patternFill>
      </fill>
    </dxf>
  </dxfs>
  <tableStyles count="1" defaultTableStyle="TableStyleMedium2" defaultPivotStyle="PivotStyleLight16">
    <tableStyle name="Invisible" pivot="0" table="0" count="0" xr9:uid="{DD1C189A-B683-457D-871C-0C118F3C0A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b\Desktop\wc2026\WC2026--GROUPS--BONUS.xls" TargetMode="External"/><Relationship Id="rId1" Type="http://schemas.openxmlformats.org/officeDocument/2006/relationships/externalLinkPath" Target="WC2026--GROUPS--BON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 Stage"/>
      <sheetName val="GroupA"/>
      <sheetName val="GroupB"/>
      <sheetName val="GroupC"/>
      <sheetName val="GroupD"/>
      <sheetName val="GroupE"/>
      <sheetName val="GroupF"/>
      <sheetName val="GroupG"/>
      <sheetName val="GroupH"/>
      <sheetName val="GroupI"/>
      <sheetName val="GroupJ"/>
      <sheetName val="GroupK"/>
      <sheetName val="GroupL"/>
      <sheetName val="Lucky Bonus"/>
    </sheetNames>
    <sheetDataSet>
      <sheetData sheetId="0" refreshError="1"/>
      <sheetData sheetId="1">
        <row r="6">
          <cell r="AG6">
            <v>10</v>
          </cell>
          <cell r="AJ6">
            <v>0</v>
          </cell>
          <cell r="AN6">
            <v>0</v>
          </cell>
          <cell r="AT6">
            <v>0</v>
          </cell>
          <cell r="AU6">
            <v>0</v>
          </cell>
        </row>
      </sheetData>
      <sheetData sheetId="2">
        <row r="6">
          <cell r="AG6">
            <v>10</v>
          </cell>
          <cell r="AJ6">
            <v>0</v>
          </cell>
          <cell r="AN6">
            <v>0</v>
          </cell>
          <cell r="AT6">
            <v>0</v>
          </cell>
          <cell r="AU6">
            <v>0</v>
          </cell>
        </row>
      </sheetData>
      <sheetData sheetId="3">
        <row r="6">
          <cell r="AG6">
            <v>8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4">
        <row r="6">
          <cell r="AG6">
            <v>8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5">
        <row r="6">
          <cell r="AG6">
            <v>9</v>
          </cell>
          <cell r="AJ6">
            <v>16</v>
          </cell>
          <cell r="AN6">
            <v>0</v>
          </cell>
          <cell r="AT6">
            <v>0</v>
          </cell>
          <cell r="AU6">
            <v>10</v>
          </cell>
        </row>
      </sheetData>
      <sheetData sheetId="6">
        <row r="6">
          <cell r="AG6">
            <v>8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7">
        <row r="6">
          <cell r="AG6">
            <v>8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8">
        <row r="6">
          <cell r="AG6">
            <v>10</v>
          </cell>
          <cell r="AJ6">
            <v>0</v>
          </cell>
          <cell r="AN6">
            <v>0</v>
          </cell>
          <cell r="AT6">
            <v>0</v>
          </cell>
          <cell r="AU6">
            <v>0</v>
          </cell>
        </row>
      </sheetData>
      <sheetData sheetId="9">
        <row r="6">
          <cell r="AG6">
            <v>10</v>
          </cell>
          <cell r="AJ6">
            <v>0</v>
          </cell>
          <cell r="AN6">
            <v>0</v>
          </cell>
          <cell r="AT6">
            <v>0</v>
          </cell>
          <cell r="AU6">
            <v>0</v>
          </cell>
        </row>
      </sheetData>
      <sheetData sheetId="10">
        <row r="6">
          <cell r="AG6">
            <v>8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11">
        <row r="6">
          <cell r="AG6">
            <v>9</v>
          </cell>
          <cell r="AJ6">
            <v>24</v>
          </cell>
          <cell r="AN6">
            <v>0</v>
          </cell>
          <cell r="AT6">
            <v>0</v>
          </cell>
          <cell r="AU6">
            <v>10</v>
          </cell>
        </row>
      </sheetData>
      <sheetData sheetId="12">
        <row r="6">
          <cell r="AG6">
            <v>10</v>
          </cell>
          <cell r="AJ6">
            <v>0</v>
          </cell>
          <cell r="AN6">
            <v>0</v>
          </cell>
          <cell r="AT6">
            <v>0</v>
          </cell>
          <cell r="AU6">
            <v>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CAB6-3569-4083-A420-47A8BDF4577D}">
  <sheetPr codeName="Sheet1"/>
  <dimension ref="A1:AJ148"/>
  <sheetViews>
    <sheetView tabSelected="1" workbookViewId="0">
      <selection activeCell="N3" sqref="N3"/>
    </sheetView>
  </sheetViews>
  <sheetFormatPr defaultRowHeight="12" customHeight="1" x14ac:dyDescent="0.25"/>
  <cols>
    <col min="1" max="1" width="2.28515625" style="70" customWidth="1"/>
    <col min="2" max="2" width="2.140625" style="70" customWidth="1"/>
    <col min="3" max="3" width="12.85546875" style="70" customWidth="1"/>
    <col min="4" max="6" width="2.42578125" style="70" customWidth="1"/>
    <col min="7" max="9" width="2.5703125" style="70" customWidth="1"/>
    <col min="10" max="10" width="3" style="70" customWidth="1"/>
    <col min="11" max="11" width="2.140625" style="70" customWidth="1"/>
    <col min="12" max="12" width="2.42578125" style="70" customWidth="1"/>
    <col min="13" max="13" width="12.85546875" style="70" customWidth="1"/>
    <col min="14" max="14" width="3.5703125" style="70" customWidth="1"/>
    <col min="15" max="15" width="1.42578125" style="70" customWidth="1"/>
    <col min="16" max="16" width="3.5703125" style="70" customWidth="1"/>
    <col min="17" max="17" width="12.85546875" style="70" customWidth="1"/>
    <col min="18" max="19" width="0.7109375" style="70" customWidth="1"/>
    <col min="20" max="20" width="12.85546875" style="70" customWidth="1"/>
    <col min="21" max="21" width="3.140625" style="70" customWidth="1"/>
    <col min="22" max="22" width="1.42578125" style="70" customWidth="1"/>
    <col min="23" max="23" width="3.140625" style="70" customWidth="1"/>
    <col min="24" max="24" width="12.85546875" style="70" customWidth="1"/>
    <col min="25" max="25" width="2.28515625" style="70" customWidth="1"/>
    <col min="26" max="26" width="2.140625" style="70" customWidth="1"/>
    <col min="27" max="27" width="12.85546875" style="70" customWidth="1"/>
    <col min="28" max="30" width="2.42578125" style="70" customWidth="1"/>
    <col min="31" max="32" width="2.5703125" style="70" customWidth="1"/>
    <col min="33" max="33" width="2.42578125" style="70" customWidth="1"/>
    <col min="34" max="34" width="3" style="70" customWidth="1"/>
    <col min="35" max="35" width="2.140625" style="70" customWidth="1"/>
    <col min="36" max="36" width="2.28515625" style="70" customWidth="1"/>
    <col min="37" max="16384" width="9.140625" style="70"/>
  </cols>
  <sheetData>
    <row r="1" spans="1:36" ht="12" customHeight="1" x14ac:dyDescent="0.25">
      <c r="A1" s="1" t="str">
        <f>IF(OR(AND(J4=3,J5=3,J6=3,J7=3),AND(B1="ties",K3="GROUP COMPLETE")),"TIES","OK")</f>
        <v>OK</v>
      </c>
      <c r="B1" s="2" t="str">
        <f>IF([1]GroupA!$AG$6=10,"",IF(AND([1]GroupA!$AN$6&lt;&gt;24,[1]GroupA!$AJ$6&lt;&gt;24,[1]GroupA!$AG$6&lt;&gt;24,OR([1]GroupA!$AT$6=10,[1]GroupA!$AU$6=10)),"ties","group good"))</f>
        <v/>
      </c>
      <c r="C1" s="3"/>
      <c r="D1" s="3"/>
      <c r="E1" s="3"/>
      <c r="F1" s="3"/>
      <c r="G1" s="3"/>
      <c r="H1" s="3"/>
      <c r="I1" s="3"/>
      <c r="J1" s="3"/>
      <c r="K1" s="3"/>
      <c r="L1" s="4"/>
      <c r="M1" s="78" t="s">
        <v>0</v>
      </c>
      <c r="N1" s="78"/>
      <c r="O1" s="78"/>
      <c r="P1" s="78"/>
      <c r="Q1" s="78"/>
      <c r="R1" s="5"/>
      <c r="S1" s="6"/>
      <c r="T1" s="78" t="s">
        <v>1</v>
      </c>
      <c r="U1" s="78"/>
      <c r="V1" s="78"/>
      <c r="W1" s="78"/>
      <c r="X1" s="78"/>
      <c r="Y1" s="1" t="str">
        <f>IF(OR(AND(AH4=3,AH5=3,AH6=3,AH7=3),AND(Z1="ties",AI3="GROUP COMPLETE")),"TIES","OK")</f>
        <v>OK</v>
      </c>
      <c r="Z1" s="2" t="str">
        <f>IF([1]GroupB!$AG$6=10,"",IF(AND([1]GroupB!$AN$6&lt;&gt;24,[1]GroupB!$AJ$6&lt;&gt;24,[1]GroupB!$AG$6&lt;&gt;24,OR([1]GroupB!$AT$6=10,[1]GroupB!$AU$6=10)),"ties","group good"))</f>
        <v/>
      </c>
      <c r="AA1" s="3"/>
      <c r="AB1" s="3"/>
      <c r="AC1" s="3"/>
      <c r="AD1" s="3"/>
      <c r="AE1" s="3"/>
      <c r="AF1" s="3"/>
      <c r="AG1" s="3"/>
      <c r="AH1" s="3"/>
      <c r="AI1" s="3"/>
      <c r="AJ1" s="4"/>
    </row>
    <row r="2" spans="1:36" ht="12" customHeight="1" thickBot="1" x14ac:dyDescent="0.3">
      <c r="A2" s="7"/>
      <c r="B2" s="8"/>
      <c r="C2" s="81" t="s">
        <v>2</v>
      </c>
      <c r="D2" s="81"/>
      <c r="E2" s="81"/>
      <c r="F2" s="81"/>
      <c r="G2" s="81"/>
      <c r="H2" s="81"/>
      <c r="I2" s="81"/>
      <c r="J2" s="81"/>
      <c r="K2" s="8"/>
      <c r="L2" s="9"/>
      <c r="M2" s="10"/>
      <c r="N2" s="11"/>
      <c r="O2" s="11"/>
      <c r="P2" s="11"/>
      <c r="Q2" s="12"/>
      <c r="R2" s="13"/>
      <c r="S2" s="14"/>
      <c r="T2" s="15"/>
      <c r="U2" s="15"/>
      <c r="V2" s="15"/>
      <c r="W2" s="15"/>
      <c r="X2" s="16"/>
      <c r="Y2" s="7"/>
      <c r="Z2" s="8"/>
      <c r="AA2" s="80" t="s">
        <v>3</v>
      </c>
      <c r="AB2" s="80"/>
      <c r="AC2" s="80"/>
      <c r="AD2" s="80"/>
      <c r="AE2" s="80"/>
      <c r="AF2" s="80"/>
      <c r="AG2" s="80"/>
      <c r="AH2" s="80"/>
      <c r="AI2" s="8"/>
      <c r="AJ2" s="9"/>
    </row>
    <row r="3" spans="1:36" ht="12" customHeight="1" thickBot="1" x14ac:dyDescent="0.3">
      <c r="A3" s="7"/>
      <c r="B3" s="8"/>
      <c r="C3" s="17" t="s">
        <v>4</v>
      </c>
      <c r="D3" s="18" t="s">
        <v>5</v>
      </c>
      <c r="E3" s="18" t="s">
        <v>6</v>
      </c>
      <c r="F3" s="19" t="s">
        <v>7</v>
      </c>
      <c r="G3" s="18" t="s">
        <v>8</v>
      </c>
      <c r="H3" s="18" t="s">
        <v>9</v>
      </c>
      <c r="I3" s="20" t="s">
        <v>10</v>
      </c>
      <c r="J3" s="21" t="s">
        <v>11</v>
      </c>
      <c r="K3" s="22" t="str">
        <f>IF(AND(ISNUMBER(N3),ISNUMBER(N4),ISNUMBER(N5),ISNUMBER(N6),ISNUMBER(N7),ISNUMBER(N8),ISNUMBER(P3),ISNUMBER(P4),ISNUMBER(P5),ISNUMBER(P6),ISNUMBER(P7),ISNUMBER(P8)),"GROUP COMPLETE","incomplete")</f>
        <v>incomplete</v>
      </c>
      <c r="L3" s="9"/>
      <c r="M3" s="23" t="str">
        <f>A_Team1</f>
        <v>Mexico</v>
      </c>
      <c r="N3" s="71"/>
      <c r="O3" s="24" t="s">
        <v>12</v>
      </c>
      <c r="P3" s="71"/>
      <c r="Q3" s="25" t="str">
        <f>A_Team2</f>
        <v>South Africa</v>
      </c>
      <c r="R3" s="26"/>
      <c r="S3" s="27"/>
      <c r="T3" s="23" t="str">
        <f>B_Team1</f>
        <v>Canada</v>
      </c>
      <c r="U3" s="71"/>
      <c r="V3" s="24" t="s">
        <v>12</v>
      </c>
      <c r="W3" s="71"/>
      <c r="X3" s="25" t="str">
        <f>B_Team2</f>
        <v>Bosnia</v>
      </c>
      <c r="Y3" s="7"/>
      <c r="Z3" s="8"/>
      <c r="AA3" s="28" t="s">
        <v>4</v>
      </c>
      <c r="AB3" s="29" t="s">
        <v>5</v>
      </c>
      <c r="AC3" s="29" t="s">
        <v>6</v>
      </c>
      <c r="AD3" s="30" t="s">
        <v>7</v>
      </c>
      <c r="AE3" s="29" t="s">
        <v>8</v>
      </c>
      <c r="AF3" s="29" t="s">
        <v>9</v>
      </c>
      <c r="AG3" s="31" t="s">
        <v>10</v>
      </c>
      <c r="AH3" s="32" t="s">
        <v>11</v>
      </c>
      <c r="AI3" s="22" t="str">
        <f>IF(AND(ISNUMBER(U3),ISNUMBER(U4),ISNUMBER(U5),ISNUMBER(U6),ISNUMBER(U7),ISNUMBER(U8),ISNUMBER(W3),ISNUMBER(W4),ISNUMBER(W5),ISNUMBER(W6),ISNUMBER(W7),ISNUMBER(W8)),"GROUP COMPLETE","incomplete")</f>
        <v>incomplete</v>
      </c>
      <c r="AJ3" s="9"/>
    </row>
    <row r="4" spans="1:36" ht="12" customHeight="1" x14ac:dyDescent="0.25">
      <c r="A4" s="77" t="str">
        <f>IF(K3="GROUP COMPLETE","1st","")</f>
        <v/>
      </c>
      <c r="B4" s="77"/>
      <c r="C4" s="33" t="str" cm="1">
        <f t="array" ref="C4:J7">_xlfn._xlws.SORT(C58:J61,{8,7,5},{-1,-1,-1},FALSE)</f>
        <v>Mexico</v>
      </c>
      <c r="D4" s="34">
        <v>0</v>
      </c>
      <c r="E4" s="34">
        <v>0</v>
      </c>
      <c r="F4" s="35">
        <v>0</v>
      </c>
      <c r="G4" s="34">
        <v>0</v>
      </c>
      <c r="H4" s="34">
        <v>0</v>
      </c>
      <c r="I4" s="34">
        <v>0</v>
      </c>
      <c r="J4" s="36">
        <v>0</v>
      </c>
      <c r="K4" s="8"/>
      <c r="L4" s="9"/>
      <c r="M4" s="23" t="str">
        <f>A_Team3</f>
        <v>South Korea</v>
      </c>
      <c r="N4" s="71"/>
      <c r="O4" s="24" t="s">
        <v>12</v>
      </c>
      <c r="P4" s="71"/>
      <c r="Q4" s="25" t="str">
        <f>A_Team4</f>
        <v>Czechia</v>
      </c>
      <c r="R4" s="26"/>
      <c r="S4" s="27"/>
      <c r="T4" s="23" t="str">
        <f>B_Team3</f>
        <v>Qatar</v>
      </c>
      <c r="U4" s="71"/>
      <c r="V4" s="24" t="s">
        <v>12</v>
      </c>
      <c r="W4" s="71"/>
      <c r="X4" s="25" t="str">
        <f>B_Team4</f>
        <v>Switzerland</v>
      </c>
      <c r="Y4" s="77" t="str">
        <f>IF(AI3="GROUP COMPLETE","1st","")</f>
        <v/>
      </c>
      <c r="Z4" s="77"/>
      <c r="AA4" s="37" t="str" cm="1">
        <f t="array" ref="AA4:AH7">_xlfn._xlws.SORT(AA58:AH61,{8,7,5},{-1,-1,-1},FALSE)</f>
        <v>Canada</v>
      </c>
      <c r="AB4" s="38">
        <v>0</v>
      </c>
      <c r="AC4" s="38">
        <v>0</v>
      </c>
      <c r="AD4" s="39">
        <v>0</v>
      </c>
      <c r="AE4" s="38">
        <v>0</v>
      </c>
      <c r="AF4" s="38">
        <v>0</v>
      </c>
      <c r="AG4" s="38">
        <v>0</v>
      </c>
      <c r="AH4" s="40">
        <v>0</v>
      </c>
      <c r="AI4" s="8"/>
      <c r="AJ4" s="9"/>
    </row>
    <row r="5" spans="1:36" ht="12" customHeight="1" x14ac:dyDescent="0.25">
      <c r="A5" s="77" t="str">
        <f>IF(K3="GROUP COMPLETE","2nd","")</f>
        <v/>
      </c>
      <c r="B5" s="77"/>
      <c r="C5" s="33" t="str">
        <v>South Africa</v>
      </c>
      <c r="D5" s="34">
        <v>0</v>
      </c>
      <c r="E5" s="34">
        <v>0</v>
      </c>
      <c r="F5" s="35">
        <v>0</v>
      </c>
      <c r="G5" s="34">
        <v>0</v>
      </c>
      <c r="H5" s="34">
        <v>0</v>
      </c>
      <c r="I5" s="34">
        <v>0</v>
      </c>
      <c r="J5" s="36">
        <v>0</v>
      </c>
      <c r="K5" s="8"/>
      <c r="L5" s="9"/>
      <c r="M5" s="23" t="str">
        <f>A_Team4</f>
        <v>Czechia</v>
      </c>
      <c r="N5" s="71"/>
      <c r="O5" s="24" t="s">
        <v>12</v>
      </c>
      <c r="P5" s="71"/>
      <c r="Q5" s="25" t="str">
        <f>A_Team2</f>
        <v>South Africa</v>
      </c>
      <c r="R5" s="26"/>
      <c r="S5" s="27"/>
      <c r="T5" s="23" t="str">
        <f>B_Team4</f>
        <v>Switzerland</v>
      </c>
      <c r="U5" s="71"/>
      <c r="V5" s="24" t="s">
        <v>12</v>
      </c>
      <c r="W5" s="71"/>
      <c r="X5" s="25" t="str">
        <f>B_Team2</f>
        <v>Bosnia</v>
      </c>
      <c r="Y5" s="77" t="str">
        <f>IF(AI3="GROUP COMPLETE","2nd","")</f>
        <v/>
      </c>
      <c r="Z5" s="77"/>
      <c r="AA5" s="37" t="str">
        <v>Bosnia</v>
      </c>
      <c r="AB5" s="38">
        <v>0</v>
      </c>
      <c r="AC5" s="38">
        <v>0</v>
      </c>
      <c r="AD5" s="39">
        <v>0</v>
      </c>
      <c r="AE5" s="38">
        <v>0</v>
      </c>
      <c r="AF5" s="38">
        <v>0</v>
      </c>
      <c r="AG5" s="38">
        <v>0</v>
      </c>
      <c r="AH5" s="40">
        <v>0</v>
      </c>
      <c r="AI5" s="8"/>
      <c r="AJ5" s="9"/>
    </row>
    <row r="6" spans="1:36" ht="12" customHeight="1" x14ac:dyDescent="0.25">
      <c r="A6" s="77" t="str">
        <f>IF(K3="GROUP COMPLETE","3rd","")</f>
        <v/>
      </c>
      <c r="B6" s="77"/>
      <c r="C6" s="33" t="str">
        <v>South Korea</v>
      </c>
      <c r="D6" s="34">
        <v>0</v>
      </c>
      <c r="E6" s="41">
        <v>0</v>
      </c>
      <c r="F6" s="35">
        <v>0</v>
      </c>
      <c r="G6" s="34">
        <v>0</v>
      </c>
      <c r="H6" s="34">
        <v>0</v>
      </c>
      <c r="I6" s="34">
        <v>0</v>
      </c>
      <c r="J6" s="36">
        <v>0</v>
      </c>
      <c r="K6" s="8"/>
      <c r="L6" s="9"/>
      <c r="M6" s="23" t="str">
        <f>A_Team1</f>
        <v>Mexico</v>
      </c>
      <c r="N6" s="71"/>
      <c r="O6" s="24" t="s">
        <v>12</v>
      </c>
      <c r="P6" s="71"/>
      <c r="Q6" s="25" t="str">
        <f>A_Team3</f>
        <v>South Korea</v>
      </c>
      <c r="R6" s="26"/>
      <c r="S6" s="27"/>
      <c r="T6" s="23" t="str">
        <f>B_Team1</f>
        <v>Canada</v>
      </c>
      <c r="U6" s="71"/>
      <c r="V6" s="24" t="s">
        <v>12</v>
      </c>
      <c r="W6" s="71"/>
      <c r="X6" s="25" t="str">
        <f>B_Team3</f>
        <v>Qatar</v>
      </c>
      <c r="Y6" s="77" t="str">
        <f>IF(AI3="GROUP COMPLETE","3rd","")</f>
        <v/>
      </c>
      <c r="Z6" s="77"/>
      <c r="AA6" s="37" t="str">
        <v>Qatar</v>
      </c>
      <c r="AB6" s="38">
        <v>0</v>
      </c>
      <c r="AC6" s="38">
        <v>0</v>
      </c>
      <c r="AD6" s="39">
        <v>0</v>
      </c>
      <c r="AE6" s="38">
        <v>0</v>
      </c>
      <c r="AF6" s="38">
        <v>0</v>
      </c>
      <c r="AG6" s="38">
        <v>0</v>
      </c>
      <c r="AH6" s="40">
        <v>0</v>
      </c>
      <c r="AI6" s="8"/>
      <c r="AJ6" s="9"/>
    </row>
    <row r="7" spans="1:36" ht="12" customHeight="1" thickBot="1" x14ac:dyDescent="0.3">
      <c r="A7" s="77" t="str">
        <f>IF(K3="GROUP COMPLETE","4th","")</f>
        <v/>
      </c>
      <c r="B7" s="77"/>
      <c r="C7" s="42" t="str">
        <v>Czechia</v>
      </c>
      <c r="D7" s="43">
        <v>0</v>
      </c>
      <c r="E7" s="43">
        <v>0</v>
      </c>
      <c r="F7" s="44">
        <v>0</v>
      </c>
      <c r="G7" s="43">
        <v>0</v>
      </c>
      <c r="H7" s="43">
        <v>0</v>
      </c>
      <c r="I7" s="43">
        <v>0</v>
      </c>
      <c r="J7" s="45">
        <v>0</v>
      </c>
      <c r="K7" s="8"/>
      <c r="L7" s="9"/>
      <c r="M7" s="23" t="str">
        <f>A_Team4</f>
        <v>Czechia</v>
      </c>
      <c r="N7" s="71"/>
      <c r="O7" s="24" t="s">
        <v>12</v>
      </c>
      <c r="P7" s="71"/>
      <c r="Q7" s="25" t="str">
        <f>A_Team1</f>
        <v>Mexico</v>
      </c>
      <c r="R7" s="26"/>
      <c r="S7" s="27"/>
      <c r="T7" s="23" t="str">
        <f>B_Team4</f>
        <v>Switzerland</v>
      </c>
      <c r="U7" s="71"/>
      <c r="V7" s="24" t="s">
        <v>12</v>
      </c>
      <c r="W7" s="71"/>
      <c r="X7" s="25" t="str">
        <f>B_Team1</f>
        <v>Canada</v>
      </c>
      <c r="Y7" s="77" t="str">
        <f>IF(AI3="GROUP COMPLETE","4th","")</f>
        <v/>
      </c>
      <c r="Z7" s="77"/>
      <c r="AA7" s="46" t="str">
        <v>Switzerland</v>
      </c>
      <c r="AB7" s="47">
        <v>0</v>
      </c>
      <c r="AC7" s="47">
        <v>0</v>
      </c>
      <c r="AD7" s="48">
        <v>0</v>
      </c>
      <c r="AE7" s="47">
        <v>0</v>
      </c>
      <c r="AF7" s="47">
        <v>0</v>
      </c>
      <c r="AG7" s="47">
        <v>0</v>
      </c>
      <c r="AH7" s="49">
        <v>0</v>
      </c>
      <c r="AI7" s="8"/>
      <c r="AJ7" s="9"/>
    </row>
    <row r="8" spans="1:36" ht="12" customHeight="1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23" t="str">
        <f>A_Team2</f>
        <v>South Africa</v>
      </c>
      <c r="N8" s="71"/>
      <c r="O8" s="24" t="s">
        <v>12</v>
      </c>
      <c r="P8" s="71"/>
      <c r="Q8" s="25" t="str">
        <f>A_Team3</f>
        <v>South Korea</v>
      </c>
      <c r="R8" s="26"/>
      <c r="S8" s="27"/>
      <c r="T8" s="23" t="str">
        <f>B_Team2</f>
        <v>Bosnia</v>
      </c>
      <c r="U8" s="71"/>
      <c r="V8" s="24" t="s">
        <v>12</v>
      </c>
      <c r="W8" s="71"/>
      <c r="X8" s="25" t="str">
        <f>B_Team3</f>
        <v>Qatar</v>
      </c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9"/>
    </row>
    <row r="9" spans="1:36" ht="12" customHeight="1" thickBot="1" x14ac:dyDescent="0.3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  <c r="M9" s="53"/>
      <c r="N9" s="54"/>
      <c r="O9" s="55">
        <f>SUM(N3:N8)+SUM(P3:P8)</f>
        <v>0</v>
      </c>
      <c r="P9" s="54"/>
      <c r="Q9" s="56"/>
      <c r="R9" s="57"/>
      <c r="S9" s="14"/>
      <c r="T9" s="54"/>
      <c r="U9" s="54"/>
      <c r="V9" s="55">
        <f>SUM(U3:U8)+SUM(W3:W8)</f>
        <v>0</v>
      </c>
      <c r="W9" s="54"/>
      <c r="X9" s="58"/>
      <c r="Y9" s="50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2"/>
    </row>
    <row r="10" spans="1:36" ht="12" customHeight="1" x14ac:dyDescent="0.25">
      <c r="A10" s="1" t="str">
        <f>IF(OR(AND(J13=3,J14=3,J15=3,J16=3),AND(B10="ties",K12="GROUP COMPLETE")),"TIES","OK")</f>
        <v>OK</v>
      </c>
      <c r="B10" s="2" t="str">
        <f>IF([1]GroupC!$AG$6=10,"",IF(AND([1]GroupC!$AN$6&lt;&gt;24,[1]GroupC!$AJ$6&lt;&gt;24,[1]GroupC!$AG$6&lt;&gt;24,OR([1]GroupC!$AT$6=10,[1]GroupC!$AU$6=10)),"ties","group good"))</f>
        <v>group good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78" t="s">
        <v>13</v>
      </c>
      <c r="N10" s="78"/>
      <c r="O10" s="78"/>
      <c r="P10" s="78"/>
      <c r="Q10" s="78"/>
      <c r="R10" s="59"/>
      <c r="S10" s="14"/>
      <c r="T10" s="79" t="s">
        <v>14</v>
      </c>
      <c r="U10" s="79"/>
      <c r="V10" s="79"/>
      <c r="W10" s="79"/>
      <c r="X10" s="79"/>
      <c r="Y10" s="1" t="str">
        <f>IF(OR(AND(AH13=3,AH14=3,AH15=3,AH16=3),AND(Z10="ties",AI12="GROUP COMPLETE")),"TIES","OK")</f>
        <v>OK</v>
      </c>
      <c r="Z10" s="2" t="str">
        <f>IF([1]GroupD!$AG$6=10,"",IF(AND([1]GroupD!$AN$6&lt;&gt;24,[1]GroupD!$AJ$6&lt;&gt;24,[1]GroupD!$AG$6&lt;&gt;24,OR([1]GroupD!$AT$6=10,[1]GroupD!$AU$6=10)),"ties","group good"))</f>
        <v>group good</v>
      </c>
      <c r="AA10" s="3"/>
      <c r="AB10" s="3"/>
      <c r="AC10" s="3"/>
      <c r="AD10" s="3"/>
      <c r="AE10" s="3"/>
      <c r="AF10" s="3"/>
      <c r="AG10" s="3"/>
      <c r="AH10" s="3"/>
      <c r="AI10" s="3"/>
      <c r="AJ10" s="4"/>
    </row>
    <row r="11" spans="1:36" ht="12" customHeight="1" thickBot="1" x14ac:dyDescent="0.3">
      <c r="A11" s="7"/>
      <c r="B11" s="8"/>
      <c r="C11" s="80" t="s">
        <v>15</v>
      </c>
      <c r="D11" s="80"/>
      <c r="E11" s="80"/>
      <c r="F11" s="80"/>
      <c r="G11" s="80"/>
      <c r="H11" s="80"/>
      <c r="I11" s="80"/>
      <c r="J11" s="80"/>
      <c r="K11" s="8"/>
      <c r="L11" s="9"/>
      <c r="M11" s="60"/>
      <c r="N11" s="15"/>
      <c r="O11" s="15"/>
      <c r="P11" s="15"/>
      <c r="Q11" s="15"/>
      <c r="R11" s="13"/>
      <c r="S11" s="14"/>
      <c r="T11" s="15"/>
      <c r="U11" s="15"/>
      <c r="V11" s="15"/>
      <c r="W11" s="15"/>
      <c r="X11" s="16"/>
      <c r="Y11" s="7"/>
      <c r="Z11" s="8"/>
      <c r="AA11" s="80" t="s">
        <v>16</v>
      </c>
      <c r="AB11" s="80"/>
      <c r="AC11" s="80"/>
      <c r="AD11" s="80"/>
      <c r="AE11" s="80"/>
      <c r="AF11" s="80"/>
      <c r="AG11" s="80"/>
      <c r="AH11" s="80"/>
      <c r="AI11" s="8"/>
      <c r="AJ11" s="9"/>
    </row>
    <row r="12" spans="1:36" ht="12" customHeight="1" thickBot="1" x14ac:dyDescent="0.3">
      <c r="A12" s="7"/>
      <c r="B12" s="8"/>
      <c r="C12" s="17" t="s">
        <v>4</v>
      </c>
      <c r="D12" s="18" t="s">
        <v>5</v>
      </c>
      <c r="E12" s="18" t="s">
        <v>6</v>
      </c>
      <c r="F12" s="19" t="s">
        <v>7</v>
      </c>
      <c r="G12" s="18" t="s">
        <v>8</v>
      </c>
      <c r="H12" s="18" t="s">
        <v>9</v>
      </c>
      <c r="I12" s="20" t="s">
        <v>10</v>
      </c>
      <c r="J12" s="21" t="s">
        <v>11</v>
      </c>
      <c r="K12" s="22" t="str">
        <f>IF(AND(ISNUMBER(N12),ISNUMBER(N13),ISNUMBER(N14),ISNUMBER(N15),ISNUMBER(N16),ISNUMBER(N17),ISNUMBER(P12),ISNUMBER(P13),ISNUMBER(P14),ISNUMBER(P15),ISNUMBER(P16),ISNUMBER(P17)),"GROUP COMPLETE","incomplete")</f>
        <v>incomplete</v>
      </c>
      <c r="L12" s="9"/>
      <c r="M12" s="23" t="str">
        <f>C_Team3</f>
        <v>Haiti</v>
      </c>
      <c r="N12" s="71"/>
      <c r="O12" s="24" t="s">
        <v>12</v>
      </c>
      <c r="P12" s="71"/>
      <c r="Q12" s="25" t="str">
        <f>C_Team4</f>
        <v>Scotland</v>
      </c>
      <c r="R12" s="26"/>
      <c r="S12" s="27"/>
      <c r="T12" s="23" t="str">
        <f>D_Team1</f>
        <v>USA</v>
      </c>
      <c r="U12" s="71"/>
      <c r="V12" s="24" t="s">
        <v>12</v>
      </c>
      <c r="W12" s="71"/>
      <c r="X12" s="25" t="str">
        <f>D_Team2</f>
        <v>Paraguay</v>
      </c>
      <c r="Y12" s="7"/>
      <c r="Z12" s="8"/>
      <c r="AA12" s="28" t="s">
        <v>4</v>
      </c>
      <c r="AB12" s="29" t="s">
        <v>5</v>
      </c>
      <c r="AC12" s="29" t="s">
        <v>6</v>
      </c>
      <c r="AD12" s="30" t="s">
        <v>7</v>
      </c>
      <c r="AE12" s="29" t="s">
        <v>8</v>
      </c>
      <c r="AF12" s="29" t="s">
        <v>9</v>
      </c>
      <c r="AG12" s="31" t="s">
        <v>10</v>
      </c>
      <c r="AH12" s="32" t="s">
        <v>11</v>
      </c>
      <c r="AI12" s="22" t="str">
        <f>IF(AND(ISNUMBER(U12),ISNUMBER(U13),ISNUMBER(U14),ISNUMBER(U15),ISNUMBER(U16),ISNUMBER(U17),ISNUMBER(W12),ISNUMBER(W13),ISNUMBER(W14),ISNUMBER(W15),ISNUMBER(W16),ISNUMBER(W17)),"GROUP COMPLETE","incomplete")</f>
        <v>incomplete</v>
      </c>
      <c r="AJ12" s="9"/>
    </row>
    <row r="13" spans="1:36" ht="12" customHeight="1" x14ac:dyDescent="0.25">
      <c r="A13" s="77" t="str">
        <f>IF(K12="GROUP COMPLETE","1st","")</f>
        <v/>
      </c>
      <c r="B13" s="77"/>
      <c r="C13" s="33" t="str" cm="1">
        <f t="array" ref="C13:J16">_xlfn._xlws.SORT(C65:J68,{8,7,5},{-1,-1,-1},FALSE)</f>
        <v>Brazil</v>
      </c>
      <c r="D13" s="34">
        <v>0</v>
      </c>
      <c r="E13" s="34">
        <v>0</v>
      </c>
      <c r="F13" s="35">
        <v>0</v>
      </c>
      <c r="G13" s="34">
        <v>0</v>
      </c>
      <c r="H13" s="34">
        <v>0</v>
      </c>
      <c r="I13" s="34">
        <v>0</v>
      </c>
      <c r="J13" s="36">
        <v>0</v>
      </c>
      <c r="K13" s="8"/>
      <c r="L13" s="9"/>
      <c r="M13" s="23" t="str">
        <f>C_Team1</f>
        <v>Brazil</v>
      </c>
      <c r="N13" s="71"/>
      <c r="O13" s="24" t="s">
        <v>12</v>
      </c>
      <c r="P13" s="71"/>
      <c r="Q13" s="25" t="str">
        <f>C_Team2</f>
        <v>Morocco</v>
      </c>
      <c r="R13" s="26"/>
      <c r="S13" s="27"/>
      <c r="T13" s="23" t="str">
        <f>D_Team3</f>
        <v>Australia</v>
      </c>
      <c r="U13" s="71"/>
      <c r="V13" s="24" t="s">
        <v>12</v>
      </c>
      <c r="W13" s="71"/>
      <c r="X13" s="25" t="str">
        <f>D_Team4</f>
        <v>Turkey</v>
      </c>
      <c r="Y13" s="77" t="str">
        <f>IF(AI12="GROUP COMPLETE","1st","")</f>
        <v/>
      </c>
      <c r="Z13" s="77"/>
      <c r="AA13" s="37" t="str" cm="1">
        <f t="array" ref="AA13:AH16">_xlfn._xlws.SORT(AA65:AH68,{8,7,5},{-1,-1,-1},FALSE)</f>
        <v>USA</v>
      </c>
      <c r="AB13" s="38">
        <v>0</v>
      </c>
      <c r="AC13" s="38">
        <v>0</v>
      </c>
      <c r="AD13" s="39">
        <v>0</v>
      </c>
      <c r="AE13" s="38">
        <v>0</v>
      </c>
      <c r="AF13" s="38">
        <v>0</v>
      </c>
      <c r="AG13" s="38">
        <v>0</v>
      </c>
      <c r="AH13" s="40">
        <v>0</v>
      </c>
      <c r="AI13" s="8"/>
      <c r="AJ13" s="9"/>
    </row>
    <row r="14" spans="1:36" ht="12" customHeight="1" x14ac:dyDescent="0.25">
      <c r="A14" s="77" t="str">
        <f>IF(K12="GROUP COMPLETE","2nd","")</f>
        <v/>
      </c>
      <c r="B14" s="77"/>
      <c r="C14" s="33" t="str">
        <v>Morocco</v>
      </c>
      <c r="D14" s="34">
        <v>0</v>
      </c>
      <c r="E14" s="34">
        <v>0</v>
      </c>
      <c r="F14" s="35">
        <v>0</v>
      </c>
      <c r="G14" s="34">
        <v>0</v>
      </c>
      <c r="H14" s="34">
        <v>0</v>
      </c>
      <c r="I14" s="34">
        <v>0</v>
      </c>
      <c r="J14" s="36">
        <v>0</v>
      </c>
      <c r="K14" s="8"/>
      <c r="L14" s="9"/>
      <c r="M14" s="23" t="str">
        <f>C_Team1</f>
        <v>Brazil</v>
      </c>
      <c r="N14" s="71"/>
      <c r="O14" s="24" t="s">
        <v>12</v>
      </c>
      <c r="P14" s="71"/>
      <c r="Q14" s="25" t="str">
        <f>C_Team3</f>
        <v>Haiti</v>
      </c>
      <c r="R14" s="26"/>
      <c r="S14" s="27"/>
      <c r="T14" s="23" t="str">
        <f>D_Team4</f>
        <v>Turkey</v>
      </c>
      <c r="U14" s="71"/>
      <c r="V14" s="24" t="s">
        <v>12</v>
      </c>
      <c r="W14" s="71"/>
      <c r="X14" s="25" t="str">
        <f>D_Team2</f>
        <v>Paraguay</v>
      </c>
      <c r="Y14" s="77" t="str">
        <f>IF(AI12="GROUP COMPLETE","2nd","")</f>
        <v/>
      </c>
      <c r="Z14" s="77"/>
      <c r="AA14" s="37" t="str">
        <v>Paraguay</v>
      </c>
      <c r="AB14" s="38">
        <v>0</v>
      </c>
      <c r="AC14" s="38">
        <v>0</v>
      </c>
      <c r="AD14" s="39">
        <v>0</v>
      </c>
      <c r="AE14" s="38">
        <v>0</v>
      </c>
      <c r="AF14" s="38">
        <v>0</v>
      </c>
      <c r="AG14" s="38">
        <v>0</v>
      </c>
      <c r="AH14" s="40">
        <v>0</v>
      </c>
      <c r="AI14" s="8"/>
      <c r="AJ14" s="9"/>
    </row>
    <row r="15" spans="1:36" ht="12" customHeight="1" x14ac:dyDescent="0.25">
      <c r="A15" s="77" t="str">
        <f>IF(K12="GROUP COMPLETE","3rd","")</f>
        <v/>
      </c>
      <c r="B15" s="77"/>
      <c r="C15" s="33" t="str">
        <v>Haiti</v>
      </c>
      <c r="D15" s="34">
        <v>0</v>
      </c>
      <c r="E15" s="41">
        <v>0</v>
      </c>
      <c r="F15" s="35">
        <v>0</v>
      </c>
      <c r="G15" s="34">
        <v>0</v>
      </c>
      <c r="H15" s="34">
        <v>0</v>
      </c>
      <c r="I15" s="34">
        <v>0</v>
      </c>
      <c r="J15" s="36">
        <v>0</v>
      </c>
      <c r="K15" s="8"/>
      <c r="L15" s="9"/>
      <c r="M15" s="23" t="str">
        <f>C_Team4</f>
        <v>Scotland</v>
      </c>
      <c r="N15" s="71"/>
      <c r="O15" s="24" t="s">
        <v>12</v>
      </c>
      <c r="P15" s="71"/>
      <c r="Q15" s="25" t="str">
        <f>C_Team2</f>
        <v>Morocco</v>
      </c>
      <c r="R15" s="26"/>
      <c r="S15" s="27"/>
      <c r="T15" s="23" t="str">
        <f>D_Team1</f>
        <v>USA</v>
      </c>
      <c r="U15" s="71"/>
      <c r="V15" s="24" t="s">
        <v>12</v>
      </c>
      <c r="W15" s="71"/>
      <c r="X15" s="25" t="str">
        <f>D_Team3</f>
        <v>Australia</v>
      </c>
      <c r="Y15" s="77" t="str">
        <f>IF(AI12="GROUP COMPLETE","3rd","")</f>
        <v/>
      </c>
      <c r="Z15" s="77"/>
      <c r="AA15" s="37" t="str">
        <v>Australia</v>
      </c>
      <c r="AB15" s="38">
        <v>0</v>
      </c>
      <c r="AC15" s="38">
        <v>0</v>
      </c>
      <c r="AD15" s="39">
        <v>0</v>
      </c>
      <c r="AE15" s="38">
        <v>0</v>
      </c>
      <c r="AF15" s="38">
        <v>0</v>
      </c>
      <c r="AG15" s="38">
        <v>0</v>
      </c>
      <c r="AH15" s="40">
        <v>0</v>
      </c>
      <c r="AI15" s="8"/>
      <c r="AJ15" s="9"/>
    </row>
    <row r="16" spans="1:36" ht="12" customHeight="1" thickBot="1" x14ac:dyDescent="0.3">
      <c r="A16" s="77" t="str">
        <f>IF(K12="GROUP COMPLETE","4th","")</f>
        <v/>
      </c>
      <c r="B16" s="77"/>
      <c r="C16" s="42" t="str">
        <v>Scotland</v>
      </c>
      <c r="D16" s="43">
        <v>0</v>
      </c>
      <c r="E16" s="43">
        <v>0</v>
      </c>
      <c r="F16" s="44">
        <v>0</v>
      </c>
      <c r="G16" s="43">
        <v>0</v>
      </c>
      <c r="H16" s="43">
        <v>0</v>
      </c>
      <c r="I16" s="43">
        <v>0</v>
      </c>
      <c r="J16" s="45">
        <v>0</v>
      </c>
      <c r="K16" s="8"/>
      <c r="L16" s="9"/>
      <c r="M16" s="23" t="str">
        <f>C_Team4</f>
        <v>Scotland</v>
      </c>
      <c r="N16" s="71"/>
      <c r="O16" s="24" t="s">
        <v>12</v>
      </c>
      <c r="P16" s="71"/>
      <c r="Q16" s="25" t="str">
        <f>C_Team1</f>
        <v>Brazil</v>
      </c>
      <c r="R16" s="26"/>
      <c r="S16" s="27"/>
      <c r="T16" s="23" t="str">
        <f>D_Team4</f>
        <v>Turkey</v>
      </c>
      <c r="U16" s="71"/>
      <c r="V16" s="24" t="s">
        <v>12</v>
      </c>
      <c r="W16" s="71"/>
      <c r="X16" s="25" t="str">
        <f>D_Team1</f>
        <v>USA</v>
      </c>
      <c r="Y16" s="77" t="str">
        <f>IF(AI12="GROUP COMPLETE","4th","")</f>
        <v/>
      </c>
      <c r="Z16" s="77"/>
      <c r="AA16" s="46" t="str">
        <v>Turkey</v>
      </c>
      <c r="AB16" s="47">
        <v>0</v>
      </c>
      <c r="AC16" s="47">
        <v>0</v>
      </c>
      <c r="AD16" s="48">
        <v>0</v>
      </c>
      <c r="AE16" s="47">
        <v>0</v>
      </c>
      <c r="AF16" s="47">
        <v>0</v>
      </c>
      <c r="AG16" s="47">
        <v>0</v>
      </c>
      <c r="AH16" s="49">
        <v>0</v>
      </c>
      <c r="AI16" s="8"/>
      <c r="AJ16" s="9"/>
    </row>
    <row r="17" spans="1:36" ht="12" customHeight="1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23" t="str">
        <f>C_Team2</f>
        <v>Morocco</v>
      </c>
      <c r="N17" s="71"/>
      <c r="O17" s="24" t="s">
        <v>12</v>
      </c>
      <c r="P17" s="71"/>
      <c r="Q17" s="25" t="str">
        <f>C_Team3</f>
        <v>Haiti</v>
      </c>
      <c r="R17" s="26"/>
      <c r="S17" s="27"/>
      <c r="T17" s="23" t="str">
        <f>D_Team2</f>
        <v>Paraguay</v>
      </c>
      <c r="U17" s="71"/>
      <c r="V17" s="24" t="s">
        <v>12</v>
      </c>
      <c r="W17" s="71"/>
      <c r="X17" s="25" t="str">
        <f>D_Team3</f>
        <v>Australia</v>
      </c>
      <c r="Y17" s="7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</row>
    <row r="18" spans="1:36" ht="12" customHeight="1" thickBot="1" x14ac:dyDescent="0.3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2"/>
      <c r="M18" s="53"/>
      <c r="N18" s="54"/>
      <c r="O18" s="55">
        <f>SUM(N12:N17)+SUM(P12:P17)</f>
        <v>0</v>
      </c>
      <c r="P18" s="54"/>
      <c r="Q18" s="56"/>
      <c r="R18" s="13"/>
      <c r="S18" s="14"/>
      <c r="T18" s="54"/>
      <c r="U18" s="54"/>
      <c r="V18" s="55">
        <f>SUM(U12:U17)+SUM(W12:W17)</f>
        <v>0</v>
      </c>
      <c r="W18" s="54"/>
      <c r="X18" s="58"/>
      <c r="Y18" s="50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2"/>
    </row>
    <row r="19" spans="1:36" ht="12" customHeight="1" x14ac:dyDescent="0.25">
      <c r="A19" s="1" t="str">
        <f>IF(OR(AND(J22=3,J23=3,J24=3,J25=3),AND(B19="ties",K21="GROUP COMPLETE")),"TIES","OK")</f>
        <v>OK</v>
      </c>
      <c r="B19" s="2" t="str">
        <f>IF([1]GroupE!$AG$6=10,"",IF(AND([1]GroupE!$AN$6&lt;&gt;24,[1]GroupE!$AJ$6&lt;&gt;24,[1]GroupE!$AG$6&lt;&gt;24,OR([1]GroupE!$AT$6=10,[1]GroupE!$AU$6=10)),"ties","group good"))</f>
        <v>ties</v>
      </c>
      <c r="C19" s="3"/>
      <c r="D19" s="3"/>
      <c r="E19" s="3"/>
      <c r="F19" s="3"/>
      <c r="G19" s="3"/>
      <c r="H19" s="3"/>
      <c r="I19" s="3"/>
      <c r="J19" s="3"/>
      <c r="K19" s="3"/>
      <c r="L19" s="4"/>
      <c r="M19" s="78" t="s">
        <v>17</v>
      </c>
      <c r="N19" s="78"/>
      <c r="O19" s="78"/>
      <c r="P19" s="78"/>
      <c r="Q19" s="78"/>
      <c r="R19" s="59"/>
      <c r="S19" s="14"/>
      <c r="T19" s="79" t="s">
        <v>18</v>
      </c>
      <c r="U19" s="79"/>
      <c r="V19" s="79"/>
      <c r="W19" s="79"/>
      <c r="X19" s="79"/>
      <c r="Y19" s="1" t="str">
        <f>IF(OR(AND(AH22=3,AH23=3,AH24=3,AH25=3),AND(Z19="ties",AI21="GROUP COMPLETE")),"TIES","OK")</f>
        <v>OK</v>
      </c>
      <c r="Z19" s="2" t="str">
        <f>IF([1]GroupF!$AG$6=10,"",IF(AND([1]GroupF!$AN$6&lt;&gt;24,[1]GroupF!$AJ$6&lt;&gt;24,[1]GroupF!$AG$6&lt;&gt;24,OR([1]GroupF!$AT$6=10,[1]GroupF!$AU$6=10)),"ties","group good"))</f>
        <v>group good</v>
      </c>
      <c r="AA19" s="3"/>
      <c r="AB19" s="3"/>
      <c r="AC19" s="3"/>
      <c r="AD19" s="3"/>
      <c r="AE19" s="3"/>
      <c r="AF19" s="3"/>
      <c r="AG19" s="3"/>
      <c r="AH19" s="3"/>
      <c r="AI19" s="3"/>
      <c r="AJ19" s="4"/>
    </row>
    <row r="20" spans="1:36" ht="12" customHeight="1" thickBot="1" x14ac:dyDescent="0.3">
      <c r="A20" s="7"/>
      <c r="B20" s="8"/>
      <c r="C20" s="80" t="s">
        <v>19</v>
      </c>
      <c r="D20" s="80"/>
      <c r="E20" s="80"/>
      <c r="F20" s="80"/>
      <c r="G20" s="80"/>
      <c r="H20" s="80"/>
      <c r="I20" s="80"/>
      <c r="J20" s="80"/>
      <c r="K20" s="8"/>
      <c r="L20" s="9"/>
      <c r="M20" s="60"/>
      <c r="N20" s="15"/>
      <c r="O20" s="15"/>
      <c r="P20" s="15"/>
      <c r="Q20" s="15"/>
      <c r="R20" s="13"/>
      <c r="S20" s="14"/>
      <c r="T20" s="15"/>
      <c r="U20" s="15"/>
      <c r="V20" s="15"/>
      <c r="W20" s="15"/>
      <c r="X20" s="16"/>
      <c r="Y20" s="7"/>
      <c r="Z20" s="8"/>
      <c r="AA20" s="80" t="s">
        <v>20</v>
      </c>
      <c r="AB20" s="80"/>
      <c r="AC20" s="80"/>
      <c r="AD20" s="80"/>
      <c r="AE20" s="80"/>
      <c r="AF20" s="80"/>
      <c r="AG20" s="80"/>
      <c r="AH20" s="80"/>
      <c r="AI20" s="8"/>
      <c r="AJ20" s="9"/>
    </row>
    <row r="21" spans="1:36" ht="12" customHeight="1" thickBot="1" x14ac:dyDescent="0.3">
      <c r="A21" s="7"/>
      <c r="B21" s="8"/>
      <c r="C21" s="28" t="s">
        <v>4</v>
      </c>
      <c r="D21" s="29" t="s">
        <v>5</v>
      </c>
      <c r="E21" s="29" t="s">
        <v>6</v>
      </c>
      <c r="F21" s="30" t="s">
        <v>7</v>
      </c>
      <c r="G21" s="29" t="s">
        <v>8</v>
      </c>
      <c r="H21" s="29" t="s">
        <v>9</v>
      </c>
      <c r="I21" s="31" t="s">
        <v>10</v>
      </c>
      <c r="J21" s="32" t="s">
        <v>11</v>
      </c>
      <c r="K21" s="22" t="str">
        <f>IF(AND(ISNUMBER(N21),ISNUMBER(N22),ISNUMBER(N23),ISNUMBER(N24),ISNUMBER(N25),ISNUMBER(N26),ISNUMBER(P21),ISNUMBER(P22),ISNUMBER(P23),ISNUMBER(P24),ISNUMBER(P25),ISNUMBER(P26)),"GROUP COMPLETE","incomplete")</f>
        <v>incomplete</v>
      </c>
      <c r="L21" s="9"/>
      <c r="M21" s="23" t="str">
        <f>E_Team3</f>
        <v>Ivory Coast</v>
      </c>
      <c r="N21" s="71"/>
      <c r="O21" s="24" t="s">
        <v>12</v>
      </c>
      <c r="P21" s="71"/>
      <c r="Q21" s="25" t="str">
        <f>E_Team4</f>
        <v>Ecuador</v>
      </c>
      <c r="R21" s="26"/>
      <c r="S21" s="27"/>
      <c r="T21" s="23" t="str">
        <f>F_Team1</f>
        <v>Netherlands</v>
      </c>
      <c r="U21" s="71"/>
      <c r="V21" s="24" t="s">
        <v>12</v>
      </c>
      <c r="W21" s="71"/>
      <c r="X21" s="25" t="str">
        <f>F_Team2</f>
        <v>Japan</v>
      </c>
      <c r="Y21" s="7"/>
      <c r="Z21" s="8"/>
      <c r="AA21" s="28" t="s">
        <v>4</v>
      </c>
      <c r="AB21" s="29" t="s">
        <v>5</v>
      </c>
      <c r="AC21" s="29" t="s">
        <v>6</v>
      </c>
      <c r="AD21" s="30" t="s">
        <v>7</v>
      </c>
      <c r="AE21" s="29" t="s">
        <v>8</v>
      </c>
      <c r="AF21" s="29" t="s">
        <v>9</v>
      </c>
      <c r="AG21" s="31" t="s">
        <v>10</v>
      </c>
      <c r="AH21" s="32" t="s">
        <v>11</v>
      </c>
      <c r="AI21" s="22" t="str">
        <f>IF(AND(ISNUMBER(U21),ISNUMBER(U22),ISNUMBER(U23),ISNUMBER(U24),ISNUMBER(U25),ISNUMBER(U26),ISNUMBER(W21),ISNUMBER(W22),ISNUMBER(W23),ISNUMBER(W24),ISNUMBER(W25),ISNUMBER(W26)),"GROUP COMPLETE","incomplete")</f>
        <v>incomplete</v>
      </c>
      <c r="AJ21" s="9"/>
    </row>
    <row r="22" spans="1:36" ht="12" customHeight="1" x14ac:dyDescent="0.25">
      <c r="A22" s="77" t="str">
        <f>IF(K21="GROUP COMPLETE","1st","")</f>
        <v/>
      </c>
      <c r="B22" s="77"/>
      <c r="C22" s="33" t="str" cm="1">
        <f t="array" ref="C22:J25">_xlfn._xlws.SORT(C72:J75,{8,7,5},{-1,-1,-1},FALSE)</f>
        <v>Germany</v>
      </c>
      <c r="D22" s="38">
        <v>0</v>
      </c>
      <c r="E22" s="38">
        <v>0</v>
      </c>
      <c r="F22" s="39">
        <v>0</v>
      </c>
      <c r="G22" s="38">
        <v>0</v>
      </c>
      <c r="H22" s="38">
        <v>0</v>
      </c>
      <c r="I22" s="38">
        <v>0</v>
      </c>
      <c r="J22" s="40">
        <v>0</v>
      </c>
      <c r="K22" s="8"/>
      <c r="L22" s="9"/>
      <c r="M22" s="23" t="str">
        <f>E_Team1</f>
        <v>Germany</v>
      </c>
      <c r="N22" s="71"/>
      <c r="O22" s="24" t="s">
        <v>12</v>
      </c>
      <c r="P22" s="71"/>
      <c r="Q22" s="25" t="str">
        <f>E_Team2</f>
        <v>Curacao</v>
      </c>
      <c r="R22" s="26"/>
      <c r="S22" s="27"/>
      <c r="T22" s="23" t="str">
        <f>F_Team3</f>
        <v>Sweden</v>
      </c>
      <c r="U22" s="71"/>
      <c r="V22" s="24" t="s">
        <v>12</v>
      </c>
      <c r="W22" s="71"/>
      <c r="X22" s="25" t="str">
        <f>F_Team4</f>
        <v>Tunisia</v>
      </c>
      <c r="Y22" s="77" t="str">
        <f>IF(AI21="GROUP COMPLETE","1st","")</f>
        <v/>
      </c>
      <c r="Z22" s="77"/>
      <c r="AA22" s="37" t="str" cm="1">
        <f t="array" ref="AA22:AH25">_xlfn._xlws.SORT(AA72:AH75,{8,7,5},{-1,-1,-1},FALSE)</f>
        <v>Netherlands</v>
      </c>
      <c r="AB22" s="38">
        <v>0</v>
      </c>
      <c r="AC22" s="38">
        <v>0</v>
      </c>
      <c r="AD22" s="39">
        <v>0</v>
      </c>
      <c r="AE22" s="38">
        <v>0</v>
      </c>
      <c r="AF22" s="38">
        <v>0</v>
      </c>
      <c r="AG22" s="38">
        <v>0</v>
      </c>
      <c r="AH22" s="40">
        <v>0</v>
      </c>
      <c r="AI22" s="8"/>
      <c r="AJ22" s="9"/>
    </row>
    <row r="23" spans="1:36" ht="12" customHeight="1" x14ac:dyDescent="0.25">
      <c r="A23" s="77" t="str">
        <f>IF(K21="GROUP COMPLETE","2nd","")</f>
        <v/>
      </c>
      <c r="B23" s="77"/>
      <c r="C23" s="37" t="str">
        <v>Curacao</v>
      </c>
      <c r="D23" s="38">
        <v>0</v>
      </c>
      <c r="E23" s="38">
        <v>0</v>
      </c>
      <c r="F23" s="39">
        <v>0</v>
      </c>
      <c r="G23" s="38">
        <v>0</v>
      </c>
      <c r="H23" s="38">
        <v>0</v>
      </c>
      <c r="I23" s="38">
        <v>0</v>
      </c>
      <c r="J23" s="40">
        <v>0</v>
      </c>
      <c r="K23" s="8"/>
      <c r="L23" s="9"/>
      <c r="M23" s="23" t="str">
        <f>E_Team1</f>
        <v>Germany</v>
      </c>
      <c r="N23" s="71"/>
      <c r="O23" s="24" t="s">
        <v>12</v>
      </c>
      <c r="P23" s="71"/>
      <c r="Q23" s="25" t="str">
        <f>E_Team3</f>
        <v>Ivory Coast</v>
      </c>
      <c r="R23" s="26"/>
      <c r="S23" s="27"/>
      <c r="T23" s="23" t="str">
        <f>F_Team1</f>
        <v>Netherlands</v>
      </c>
      <c r="U23" s="71"/>
      <c r="V23" s="24" t="s">
        <v>12</v>
      </c>
      <c r="W23" s="71"/>
      <c r="X23" s="25" t="str">
        <f>F_Team3</f>
        <v>Sweden</v>
      </c>
      <c r="Y23" s="77" t="str">
        <f>IF(AI21="GROUP COMPLETE","2nd","")</f>
        <v/>
      </c>
      <c r="Z23" s="77"/>
      <c r="AA23" s="37" t="str">
        <v>Japan</v>
      </c>
      <c r="AB23" s="38">
        <v>0</v>
      </c>
      <c r="AC23" s="38">
        <v>0</v>
      </c>
      <c r="AD23" s="39">
        <v>0</v>
      </c>
      <c r="AE23" s="38">
        <v>0</v>
      </c>
      <c r="AF23" s="38">
        <v>0</v>
      </c>
      <c r="AG23" s="38">
        <v>0</v>
      </c>
      <c r="AH23" s="40">
        <v>0</v>
      </c>
      <c r="AI23" s="8"/>
      <c r="AJ23" s="9"/>
    </row>
    <row r="24" spans="1:36" ht="12" customHeight="1" x14ac:dyDescent="0.25">
      <c r="A24" s="77" t="str">
        <f>IF(K21="GROUP COMPLETE","3rd","")</f>
        <v/>
      </c>
      <c r="B24" s="77"/>
      <c r="C24" s="37" t="str">
        <v>Ivory Coast</v>
      </c>
      <c r="D24" s="38">
        <v>0</v>
      </c>
      <c r="E24" s="38">
        <v>0</v>
      </c>
      <c r="F24" s="39">
        <v>0</v>
      </c>
      <c r="G24" s="38">
        <v>0</v>
      </c>
      <c r="H24" s="38">
        <v>0</v>
      </c>
      <c r="I24" s="38">
        <v>0</v>
      </c>
      <c r="J24" s="40">
        <v>0</v>
      </c>
      <c r="K24" s="8"/>
      <c r="L24" s="9"/>
      <c r="M24" s="23" t="str">
        <f>E_Team4</f>
        <v>Ecuador</v>
      </c>
      <c r="N24" s="71"/>
      <c r="O24" s="24" t="s">
        <v>12</v>
      </c>
      <c r="P24" s="71"/>
      <c r="Q24" s="25" t="str">
        <f>E_Team2</f>
        <v>Curacao</v>
      </c>
      <c r="R24" s="26"/>
      <c r="S24" s="27"/>
      <c r="T24" s="23" t="str">
        <f>F_Team4</f>
        <v>Tunisia</v>
      </c>
      <c r="U24" s="71"/>
      <c r="V24" s="24" t="s">
        <v>12</v>
      </c>
      <c r="W24" s="71"/>
      <c r="X24" s="25" t="str">
        <f>F_Team2</f>
        <v>Japan</v>
      </c>
      <c r="Y24" s="77" t="str">
        <f>IF(AI21="GROUP COMPLETE","3rd","")</f>
        <v/>
      </c>
      <c r="Z24" s="77"/>
      <c r="AA24" s="37" t="str">
        <v>Sweden</v>
      </c>
      <c r="AB24" s="38">
        <v>0</v>
      </c>
      <c r="AC24" s="38">
        <v>0</v>
      </c>
      <c r="AD24" s="39">
        <v>0</v>
      </c>
      <c r="AE24" s="38">
        <v>0</v>
      </c>
      <c r="AF24" s="38">
        <v>0</v>
      </c>
      <c r="AG24" s="38">
        <v>0</v>
      </c>
      <c r="AH24" s="40">
        <v>0</v>
      </c>
      <c r="AI24" s="8"/>
      <c r="AJ24" s="9"/>
    </row>
    <row r="25" spans="1:36" ht="12" customHeight="1" thickBot="1" x14ac:dyDescent="0.3">
      <c r="A25" s="77" t="str">
        <f>IF(K21="GROUP COMPLETE","4th","")</f>
        <v/>
      </c>
      <c r="B25" s="77"/>
      <c r="C25" s="46" t="str">
        <v>Ecuador</v>
      </c>
      <c r="D25" s="47">
        <v>0</v>
      </c>
      <c r="E25" s="47">
        <v>0</v>
      </c>
      <c r="F25" s="48">
        <v>0</v>
      </c>
      <c r="G25" s="47">
        <v>0</v>
      </c>
      <c r="H25" s="47">
        <v>0</v>
      </c>
      <c r="I25" s="47">
        <v>0</v>
      </c>
      <c r="J25" s="49">
        <v>0</v>
      </c>
      <c r="K25" s="8"/>
      <c r="L25" s="9"/>
      <c r="M25" s="23" t="str">
        <f>E_Team2</f>
        <v>Curacao</v>
      </c>
      <c r="N25" s="71"/>
      <c r="O25" s="24" t="s">
        <v>12</v>
      </c>
      <c r="P25" s="71"/>
      <c r="Q25" s="25" t="str">
        <f>E_Team3</f>
        <v>Ivory Coast</v>
      </c>
      <c r="R25" s="26"/>
      <c r="S25" s="27"/>
      <c r="T25" s="23" t="str">
        <f>F_Team2</f>
        <v>Japan</v>
      </c>
      <c r="U25" s="71"/>
      <c r="V25" s="24" t="s">
        <v>12</v>
      </c>
      <c r="W25" s="71"/>
      <c r="X25" s="25" t="str">
        <f>F_Team3</f>
        <v>Sweden</v>
      </c>
      <c r="Y25" s="77" t="str">
        <f>IF(AI21="GROUP COMPLETE","4th","")</f>
        <v/>
      </c>
      <c r="Z25" s="77"/>
      <c r="AA25" s="46" t="str">
        <v>Tunisia</v>
      </c>
      <c r="AB25" s="47">
        <v>0</v>
      </c>
      <c r="AC25" s="47">
        <v>0</v>
      </c>
      <c r="AD25" s="48">
        <v>0</v>
      </c>
      <c r="AE25" s="47">
        <v>0</v>
      </c>
      <c r="AF25" s="47">
        <v>0</v>
      </c>
      <c r="AG25" s="47">
        <v>0</v>
      </c>
      <c r="AH25" s="49">
        <v>0</v>
      </c>
      <c r="AI25" s="8"/>
      <c r="AJ25" s="9"/>
    </row>
    <row r="26" spans="1:36" ht="12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23" t="str">
        <f>E_Team4</f>
        <v>Ecuador</v>
      </c>
      <c r="N26" s="71"/>
      <c r="O26" s="24" t="s">
        <v>12</v>
      </c>
      <c r="P26" s="71"/>
      <c r="Q26" s="25" t="str">
        <f>E_Team1</f>
        <v>Germany</v>
      </c>
      <c r="R26" s="26"/>
      <c r="S26" s="27"/>
      <c r="T26" s="23" t="str">
        <f>F_Team4</f>
        <v>Tunisia</v>
      </c>
      <c r="U26" s="71"/>
      <c r="V26" s="24" t="s">
        <v>12</v>
      </c>
      <c r="W26" s="71"/>
      <c r="X26" s="25" t="str">
        <f>F_Team1</f>
        <v>Netherlands</v>
      </c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9"/>
    </row>
    <row r="27" spans="1:36" ht="12" customHeight="1" thickBot="1" x14ac:dyDescent="0.3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2"/>
      <c r="M27" s="53"/>
      <c r="N27" s="54"/>
      <c r="O27" s="55">
        <f>SUM(N21:N26)+SUM(P21:P26)</f>
        <v>0</v>
      </c>
      <c r="P27" s="54"/>
      <c r="Q27" s="56"/>
      <c r="R27" s="13"/>
      <c r="S27" s="14"/>
      <c r="T27" s="54"/>
      <c r="U27" s="54"/>
      <c r="V27" s="55">
        <f>SUM(U21:U26)+SUM(W21:W26)</f>
        <v>0</v>
      </c>
      <c r="W27" s="54"/>
      <c r="X27" s="58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2"/>
    </row>
    <row r="28" spans="1:36" ht="12" customHeight="1" x14ac:dyDescent="0.25">
      <c r="A28" s="1" t="str">
        <f>IF(OR(AND(J31=3,J32=3,J33=3,J34=3),AND(B28="ties",K30="GROUP COMPLETE")),"TIES","OK")</f>
        <v>OK</v>
      </c>
      <c r="B28" s="2" t="str">
        <f>IF([1]GroupG!$AG$6=10,"",IF(AND([1]GroupG!$AN$6&lt;&gt;24,[1]GroupG!$AJ$6&lt;&gt;24,[1]GroupG!$AG$6&lt;&gt;24,OR([1]GroupG!$AT$6=10,[1]GroupG!$AU$6=10)),"ties","group good"))</f>
        <v>group good</v>
      </c>
      <c r="C28" s="3"/>
      <c r="D28" s="3"/>
      <c r="E28" s="3"/>
      <c r="F28" s="3"/>
      <c r="G28" s="3"/>
      <c r="H28" s="3"/>
      <c r="I28" s="3"/>
      <c r="J28" s="3"/>
      <c r="K28" s="3"/>
      <c r="L28" s="4"/>
      <c r="M28" s="78" t="s">
        <v>21</v>
      </c>
      <c r="N28" s="78"/>
      <c r="O28" s="78"/>
      <c r="P28" s="78"/>
      <c r="Q28" s="78"/>
      <c r="R28" s="59"/>
      <c r="S28" s="14"/>
      <c r="T28" s="79" t="s">
        <v>22</v>
      </c>
      <c r="U28" s="79"/>
      <c r="V28" s="79"/>
      <c r="W28" s="79"/>
      <c r="X28" s="79"/>
      <c r="Y28" s="1" t="str">
        <f>IF(OR(AND(AH31=3,AH32=3,AH33=3,AH34=3),AND(Z28="ties",AI30="GROUP COMPLETE")),"TIES","OK")</f>
        <v>OK</v>
      </c>
      <c r="Z28" s="2" t="str">
        <f>IF([1]GroupH!$AG$6=10,"",IF(AND([1]GroupH!$AN$6&lt;&gt;24,[1]GroupH!$AJ$6&lt;&gt;24,[1]GroupH!$AG$6&lt;&gt;24,OR([1]GroupH!$AT$6=10,[1]GroupH!$AU$6=10)),"ties","group good"))</f>
        <v/>
      </c>
      <c r="AA28" s="3"/>
      <c r="AB28" s="3"/>
      <c r="AC28" s="3"/>
      <c r="AD28" s="3"/>
      <c r="AE28" s="3"/>
      <c r="AF28" s="3"/>
      <c r="AG28" s="3"/>
      <c r="AH28" s="3"/>
      <c r="AI28" s="3"/>
      <c r="AJ28" s="4"/>
    </row>
    <row r="29" spans="1:36" ht="12" customHeight="1" thickBot="1" x14ac:dyDescent="0.3">
      <c r="A29" s="7"/>
      <c r="B29" s="8"/>
      <c r="C29" s="80" t="s">
        <v>23</v>
      </c>
      <c r="D29" s="80"/>
      <c r="E29" s="80"/>
      <c r="F29" s="80"/>
      <c r="G29" s="80"/>
      <c r="H29" s="80"/>
      <c r="I29" s="80"/>
      <c r="J29" s="80"/>
      <c r="K29" s="8"/>
      <c r="L29" s="9"/>
      <c r="M29" s="60"/>
      <c r="N29" s="15"/>
      <c r="O29" s="15"/>
      <c r="P29" s="15"/>
      <c r="Q29" s="15"/>
      <c r="R29" s="13"/>
      <c r="S29" s="14"/>
      <c r="T29" s="15"/>
      <c r="U29" s="15"/>
      <c r="V29" s="15"/>
      <c r="W29" s="15"/>
      <c r="X29" s="16"/>
      <c r="Y29" s="7"/>
      <c r="Z29" s="8"/>
      <c r="AA29" s="80" t="s">
        <v>24</v>
      </c>
      <c r="AB29" s="80"/>
      <c r="AC29" s="80"/>
      <c r="AD29" s="80"/>
      <c r="AE29" s="80"/>
      <c r="AF29" s="80"/>
      <c r="AG29" s="80"/>
      <c r="AH29" s="80"/>
      <c r="AI29" s="8"/>
      <c r="AJ29" s="9"/>
    </row>
    <row r="30" spans="1:36" ht="12" customHeight="1" thickBot="1" x14ac:dyDescent="0.3">
      <c r="A30" s="7"/>
      <c r="B30" s="8"/>
      <c r="C30" s="28" t="s">
        <v>4</v>
      </c>
      <c r="D30" s="29" t="s">
        <v>5</v>
      </c>
      <c r="E30" s="29" t="s">
        <v>6</v>
      </c>
      <c r="F30" s="30" t="s">
        <v>7</v>
      </c>
      <c r="G30" s="29" t="s">
        <v>8</v>
      </c>
      <c r="H30" s="29" t="s">
        <v>9</v>
      </c>
      <c r="I30" s="31" t="s">
        <v>10</v>
      </c>
      <c r="J30" s="32" t="s">
        <v>11</v>
      </c>
      <c r="K30" s="22" t="str">
        <f>IF(AND(ISNUMBER(N30),ISNUMBER(N31),ISNUMBER(N32),ISNUMBER(N33),ISNUMBER(N34),ISNUMBER(N35),ISNUMBER(P30),ISNUMBER(P31),ISNUMBER(P32),ISNUMBER(P33),ISNUMBER(P34),ISNUMBER(P35)),"GROUP COMPLETE","incomplete")</f>
        <v>incomplete</v>
      </c>
      <c r="L30" s="9"/>
      <c r="M30" s="23" t="str">
        <f>G_Team3</f>
        <v>Iran</v>
      </c>
      <c r="N30" s="71"/>
      <c r="O30" s="24" t="s">
        <v>12</v>
      </c>
      <c r="P30" s="71"/>
      <c r="Q30" s="25" t="str">
        <f>G_Team4</f>
        <v>New Zealand</v>
      </c>
      <c r="R30" s="26"/>
      <c r="S30" s="27"/>
      <c r="T30" s="23" t="str">
        <f>H_Team3</f>
        <v>Saudi Arabia</v>
      </c>
      <c r="U30" s="71"/>
      <c r="V30" s="24" t="s">
        <v>12</v>
      </c>
      <c r="W30" s="71"/>
      <c r="X30" s="25" t="str">
        <f>H_Team4</f>
        <v>Uruguay</v>
      </c>
      <c r="Y30" s="7"/>
      <c r="Z30" s="8"/>
      <c r="AA30" s="28" t="s">
        <v>4</v>
      </c>
      <c r="AB30" s="29" t="s">
        <v>5</v>
      </c>
      <c r="AC30" s="29" t="s">
        <v>6</v>
      </c>
      <c r="AD30" s="30" t="s">
        <v>7</v>
      </c>
      <c r="AE30" s="29" t="s">
        <v>8</v>
      </c>
      <c r="AF30" s="29" t="s">
        <v>9</v>
      </c>
      <c r="AG30" s="31" t="s">
        <v>10</v>
      </c>
      <c r="AH30" s="32" t="s">
        <v>11</v>
      </c>
      <c r="AI30" s="22" t="str">
        <f>IF(AND(ISNUMBER(U30),ISNUMBER(U31),ISNUMBER(U32),ISNUMBER(U33),ISNUMBER(U34),ISNUMBER(U35),ISNUMBER(W30),ISNUMBER(W31),ISNUMBER(W32),ISNUMBER(W33),ISNUMBER(W34),ISNUMBER(W35)),"GROUP COMPLETE","incomplete")</f>
        <v>incomplete</v>
      </c>
      <c r="AJ30" s="9"/>
    </row>
    <row r="31" spans="1:36" ht="12" customHeight="1" x14ac:dyDescent="0.25">
      <c r="A31" s="77" t="str">
        <f>IF(K30="GROUP COMPLETE","1st","")</f>
        <v/>
      </c>
      <c r="B31" s="77"/>
      <c r="C31" s="33" t="str" cm="1">
        <f t="array" ref="C31:J34">_xlfn._xlws.SORT(C79:J82,{8,7,5},{-1,-1,-1},FALSE)</f>
        <v>Belgium</v>
      </c>
      <c r="D31" s="38">
        <v>0</v>
      </c>
      <c r="E31" s="38">
        <v>0</v>
      </c>
      <c r="F31" s="39">
        <v>0</v>
      </c>
      <c r="G31" s="38">
        <v>0</v>
      </c>
      <c r="H31" s="38">
        <v>0</v>
      </c>
      <c r="I31" s="38">
        <v>0</v>
      </c>
      <c r="J31" s="40">
        <v>0</v>
      </c>
      <c r="K31" s="8"/>
      <c r="L31" s="9"/>
      <c r="M31" s="23" t="str">
        <f>G_Team1</f>
        <v>Belgium</v>
      </c>
      <c r="N31" s="71"/>
      <c r="O31" s="24" t="s">
        <v>12</v>
      </c>
      <c r="P31" s="71"/>
      <c r="Q31" s="25" t="str">
        <f>G_Team2</f>
        <v>Egypt</v>
      </c>
      <c r="R31" s="26"/>
      <c r="S31" s="27"/>
      <c r="T31" s="23" t="str">
        <f>H_Team1</f>
        <v>Spain</v>
      </c>
      <c r="U31" s="71"/>
      <c r="V31" s="24" t="s">
        <v>12</v>
      </c>
      <c r="W31" s="71"/>
      <c r="X31" s="25" t="str">
        <f>H_Team2</f>
        <v>Cabo Verde</v>
      </c>
      <c r="Y31" s="77" t="str">
        <f>IF(AI30="GROUP COMPLETE","1st","")</f>
        <v/>
      </c>
      <c r="Z31" s="77"/>
      <c r="AA31" s="37" t="str" cm="1">
        <f t="array" ref="AA31:AH34">_xlfn._xlws.SORT(AA79:AH82,{8,7,5},{-1,-1,-1},FALSE)</f>
        <v>Spain</v>
      </c>
      <c r="AB31" s="38">
        <v>0</v>
      </c>
      <c r="AC31" s="38">
        <v>0</v>
      </c>
      <c r="AD31" s="39">
        <v>0</v>
      </c>
      <c r="AE31" s="38">
        <v>0</v>
      </c>
      <c r="AF31" s="38">
        <v>0</v>
      </c>
      <c r="AG31" s="38">
        <v>0</v>
      </c>
      <c r="AH31" s="40">
        <v>0</v>
      </c>
      <c r="AI31" s="8"/>
      <c r="AJ31" s="9"/>
    </row>
    <row r="32" spans="1:36" ht="12" customHeight="1" x14ac:dyDescent="0.25">
      <c r="A32" s="77" t="str">
        <f>IF(K30="GROUP COMPLETE","2nd","")</f>
        <v/>
      </c>
      <c r="B32" s="77"/>
      <c r="C32" s="37" t="str">
        <v>Egypt</v>
      </c>
      <c r="D32" s="38">
        <v>0</v>
      </c>
      <c r="E32" s="38">
        <v>0</v>
      </c>
      <c r="F32" s="39">
        <v>0</v>
      </c>
      <c r="G32" s="38">
        <v>0</v>
      </c>
      <c r="H32" s="38">
        <v>0</v>
      </c>
      <c r="I32" s="38">
        <v>0</v>
      </c>
      <c r="J32" s="40">
        <v>0</v>
      </c>
      <c r="K32" s="8"/>
      <c r="L32" s="9"/>
      <c r="M32" s="23" t="str">
        <f>G_Team1</f>
        <v>Belgium</v>
      </c>
      <c r="N32" s="71"/>
      <c r="O32" s="24" t="s">
        <v>12</v>
      </c>
      <c r="P32" s="71"/>
      <c r="Q32" s="25" t="str">
        <f>G_Team3</f>
        <v>Iran</v>
      </c>
      <c r="R32" s="26"/>
      <c r="S32" s="27"/>
      <c r="T32" s="23" t="str">
        <f>H_Team4</f>
        <v>Uruguay</v>
      </c>
      <c r="U32" s="71"/>
      <c r="V32" s="24" t="s">
        <v>12</v>
      </c>
      <c r="W32" s="71"/>
      <c r="X32" s="25" t="str">
        <f>H_Team2</f>
        <v>Cabo Verde</v>
      </c>
      <c r="Y32" s="77" t="str">
        <f>IF(AI30="GROUP COMPLETE","2nd","")</f>
        <v/>
      </c>
      <c r="Z32" s="77"/>
      <c r="AA32" s="37" t="str">
        <v>Cabo Verde</v>
      </c>
      <c r="AB32" s="38">
        <v>0</v>
      </c>
      <c r="AC32" s="38">
        <v>0</v>
      </c>
      <c r="AD32" s="39">
        <v>0</v>
      </c>
      <c r="AE32" s="38">
        <v>0</v>
      </c>
      <c r="AF32" s="38">
        <v>0</v>
      </c>
      <c r="AG32" s="38">
        <v>0</v>
      </c>
      <c r="AH32" s="40">
        <v>0</v>
      </c>
      <c r="AI32" s="8"/>
      <c r="AJ32" s="9"/>
    </row>
    <row r="33" spans="1:36" ht="12" customHeight="1" x14ac:dyDescent="0.25">
      <c r="A33" s="77" t="str">
        <f>IF(K30="GROUP COMPLETE","3rd","")</f>
        <v/>
      </c>
      <c r="B33" s="77"/>
      <c r="C33" s="37" t="str">
        <v>Iran</v>
      </c>
      <c r="D33" s="38">
        <v>0</v>
      </c>
      <c r="E33" s="38">
        <v>0</v>
      </c>
      <c r="F33" s="39">
        <v>0</v>
      </c>
      <c r="G33" s="38">
        <v>0</v>
      </c>
      <c r="H33" s="38">
        <v>0</v>
      </c>
      <c r="I33" s="38">
        <v>0</v>
      </c>
      <c r="J33" s="40">
        <v>0</v>
      </c>
      <c r="K33" s="8"/>
      <c r="L33" s="9"/>
      <c r="M33" s="23" t="str">
        <f>G_Team4</f>
        <v>New Zealand</v>
      </c>
      <c r="N33" s="71"/>
      <c r="O33" s="24" t="s">
        <v>12</v>
      </c>
      <c r="P33" s="71"/>
      <c r="Q33" s="25" t="str">
        <f>G_Team2</f>
        <v>Egypt</v>
      </c>
      <c r="R33" s="26"/>
      <c r="S33" s="27"/>
      <c r="T33" s="23" t="str">
        <f>H_Team1</f>
        <v>Spain</v>
      </c>
      <c r="U33" s="71"/>
      <c r="V33" s="24" t="s">
        <v>12</v>
      </c>
      <c r="W33" s="71"/>
      <c r="X33" s="25" t="str">
        <f>H_Team3</f>
        <v>Saudi Arabia</v>
      </c>
      <c r="Y33" s="77" t="str">
        <f>IF(AI30="GROUP COMPLETE","3rd","")</f>
        <v/>
      </c>
      <c r="Z33" s="77"/>
      <c r="AA33" s="37" t="str">
        <v>Saudi Arabia</v>
      </c>
      <c r="AB33" s="38">
        <v>0</v>
      </c>
      <c r="AC33" s="38">
        <v>0</v>
      </c>
      <c r="AD33" s="39">
        <v>0</v>
      </c>
      <c r="AE33" s="38">
        <v>0</v>
      </c>
      <c r="AF33" s="38">
        <v>0</v>
      </c>
      <c r="AG33" s="38">
        <v>0</v>
      </c>
      <c r="AH33" s="40">
        <v>0</v>
      </c>
      <c r="AI33" s="8"/>
      <c r="AJ33" s="9"/>
    </row>
    <row r="34" spans="1:36" ht="12" customHeight="1" thickBot="1" x14ac:dyDescent="0.3">
      <c r="A34" s="77" t="str">
        <f>IF(K30="GROUP COMPLETE","4th","")</f>
        <v/>
      </c>
      <c r="B34" s="77"/>
      <c r="C34" s="46" t="str">
        <v>New Zealand</v>
      </c>
      <c r="D34" s="47">
        <v>0</v>
      </c>
      <c r="E34" s="47">
        <v>0</v>
      </c>
      <c r="F34" s="48">
        <v>0</v>
      </c>
      <c r="G34" s="47">
        <v>0</v>
      </c>
      <c r="H34" s="47">
        <v>0</v>
      </c>
      <c r="I34" s="47">
        <v>0</v>
      </c>
      <c r="J34" s="49">
        <v>0</v>
      </c>
      <c r="K34" s="8"/>
      <c r="L34" s="9"/>
      <c r="M34" s="23" t="str">
        <f>G_Team2</f>
        <v>Egypt</v>
      </c>
      <c r="N34" s="71"/>
      <c r="O34" s="24" t="s">
        <v>12</v>
      </c>
      <c r="P34" s="71"/>
      <c r="Q34" s="25" t="str">
        <f>G_Team3</f>
        <v>Iran</v>
      </c>
      <c r="R34" s="26"/>
      <c r="S34" s="27"/>
      <c r="T34" s="23" t="str">
        <f>H_Team2</f>
        <v>Cabo Verde</v>
      </c>
      <c r="U34" s="71"/>
      <c r="V34" s="24" t="s">
        <v>12</v>
      </c>
      <c r="W34" s="71"/>
      <c r="X34" s="25" t="str">
        <f>H_Team3</f>
        <v>Saudi Arabia</v>
      </c>
      <c r="Y34" s="77" t="str">
        <f>IF(AI30="GROUP COMPLETE","4th","")</f>
        <v/>
      </c>
      <c r="Z34" s="77"/>
      <c r="AA34" s="46" t="str">
        <v>Uruguay</v>
      </c>
      <c r="AB34" s="47">
        <v>0</v>
      </c>
      <c r="AC34" s="47">
        <v>0</v>
      </c>
      <c r="AD34" s="48">
        <v>0</v>
      </c>
      <c r="AE34" s="47">
        <v>0</v>
      </c>
      <c r="AF34" s="47">
        <v>0</v>
      </c>
      <c r="AG34" s="47">
        <v>0</v>
      </c>
      <c r="AH34" s="49">
        <v>0</v>
      </c>
      <c r="AI34" s="8"/>
      <c r="AJ34" s="9"/>
    </row>
    <row r="35" spans="1:36" ht="12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23" t="str">
        <f>G_Team4</f>
        <v>New Zealand</v>
      </c>
      <c r="N35" s="71"/>
      <c r="O35" s="24" t="s">
        <v>12</v>
      </c>
      <c r="P35" s="71"/>
      <c r="Q35" s="25" t="str">
        <f>G_Team1</f>
        <v>Belgium</v>
      </c>
      <c r="R35" s="26"/>
      <c r="S35" s="27"/>
      <c r="T35" s="23" t="str">
        <f>H_Team4</f>
        <v>Uruguay</v>
      </c>
      <c r="U35" s="71"/>
      <c r="V35" s="24" t="s">
        <v>12</v>
      </c>
      <c r="W35" s="71"/>
      <c r="X35" s="25" t="str">
        <f>H_Team1</f>
        <v>Spain</v>
      </c>
      <c r="Y35" s="7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9"/>
    </row>
    <row r="36" spans="1:36" ht="12" customHeight="1" thickBot="1" x14ac:dyDescent="0.3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2"/>
      <c r="M36" s="53"/>
      <c r="N36" s="54"/>
      <c r="O36" s="55">
        <f>SUM(N30:N35)+SUM(P30:P35)</f>
        <v>0</v>
      </c>
      <c r="P36" s="54"/>
      <c r="Q36" s="56"/>
      <c r="R36" s="61"/>
      <c r="S36" s="62"/>
      <c r="T36" s="54"/>
      <c r="U36" s="54"/>
      <c r="V36" s="55">
        <f>SUM(U30:U35)+SUM(W30:W35)</f>
        <v>0</v>
      </c>
      <c r="W36" s="54"/>
      <c r="X36" s="58"/>
      <c r="Y36" s="50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2"/>
    </row>
    <row r="37" spans="1:36" ht="12" customHeight="1" x14ac:dyDescent="0.25">
      <c r="A37" s="1" t="str">
        <f>IF(OR(AND(J40=3,J41=3,J42=3,J43=3),AND(B37="ties",K39="GROUP COMPLETE")),"TIES","OK")</f>
        <v>OK</v>
      </c>
      <c r="B37" s="2" t="str">
        <f>IF([1]GroupI!$AG$6=10,"",IF(AND([1]GroupI!$AN$6&lt;&gt;24,[1]GroupI!$AJ$6&lt;&gt;24,[1]GroupI!$AG$6&lt;&gt;24,OR([1]GroupI!$AT$6=10,[1]GroupI!$AU$6=10)),"ties","group good"))</f>
        <v/>
      </c>
      <c r="C37" s="3"/>
      <c r="D37" s="3"/>
      <c r="E37" s="3"/>
      <c r="F37" s="3"/>
      <c r="G37" s="3"/>
      <c r="H37" s="3"/>
      <c r="I37" s="3"/>
      <c r="J37" s="3"/>
      <c r="K37" s="3"/>
      <c r="L37" s="4"/>
      <c r="M37" s="78" t="s">
        <v>25</v>
      </c>
      <c r="N37" s="78"/>
      <c r="O37" s="78"/>
      <c r="P37" s="78"/>
      <c r="Q37" s="78"/>
      <c r="R37" s="59"/>
      <c r="S37" s="14"/>
      <c r="T37" s="79" t="s">
        <v>26</v>
      </c>
      <c r="U37" s="79"/>
      <c r="V37" s="79"/>
      <c r="W37" s="79"/>
      <c r="X37" s="79"/>
      <c r="Y37" s="1" t="str">
        <f>IF(OR(AND(AH40=3,AH41=3,AH42=3,AH43=3),AND(Z37="ties",AI39="GROUP COMPLETE")),"TIES","OK")</f>
        <v>OK</v>
      </c>
      <c r="Z37" s="2" t="str">
        <f>IF([1]GroupJ!$AG$6=10,"",IF(AND([1]GroupJ!$AN$6&lt;&gt;24,[1]GroupJ!$AJ$6&lt;&gt;24,[1]GroupJ!$AG$6&lt;&gt;24,OR([1]GroupJ!$AT$6=10,[1]GroupJ!$AU$6=10)),"ties","group good"))</f>
        <v>group good</v>
      </c>
      <c r="AA37" s="3"/>
      <c r="AB37" s="3"/>
      <c r="AC37" s="3"/>
      <c r="AD37" s="3"/>
      <c r="AE37" s="3"/>
      <c r="AF37" s="3"/>
      <c r="AG37" s="3"/>
      <c r="AH37" s="3"/>
      <c r="AI37" s="3"/>
      <c r="AJ37" s="4"/>
    </row>
    <row r="38" spans="1:36" ht="12" customHeight="1" thickBot="1" x14ac:dyDescent="0.3">
      <c r="A38" s="7"/>
      <c r="B38" s="8"/>
      <c r="C38" s="80" t="s">
        <v>27</v>
      </c>
      <c r="D38" s="80"/>
      <c r="E38" s="80"/>
      <c r="F38" s="80"/>
      <c r="G38" s="80"/>
      <c r="H38" s="80"/>
      <c r="I38" s="80"/>
      <c r="J38" s="80"/>
      <c r="K38" s="8"/>
      <c r="L38" s="9"/>
      <c r="M38" s="60"/>
      <c r="N38" s="15"/>
      <c r="O38" s="15"/>
      <c r="P38" s="15"/>
      <c r="Q38" s="15"/>
      <c r="R38" s="13"/>
      <c r="S38" s="14"/>
      <c r="T38" s="15"/>
      <c r="U38" s="15"/>
      <c r="V38" s="15"/>
      <c r="W38" s="15"/>
      <c r="X38" s="16"/>
      <c r="Y38" s="7"/>
      <c r="Z38" s="8"/>
      <c r="AA38" s="80" t="s">
        <v>28</v>
      </c>
      <c r="AB38" s="80"/>
      <c r="AC38" s="80"/>
      <c r="AD38" s="80"/>
      <c r="AE38" s="80"/>
      <c r="AF38" s="80"/>
      <c r="AG38" s="80"/>
      <c r="AH38" s="80"/>
      <c r="AI38" s="8"/>
      <c r="AJ38" s="9"/>
    </row>
    <row r="39" spans="1:36" ht="12" customHeight="1" thickBot="1" x14ac:dyDescent="0.3">
      <c r="A39" s="7"/>
      <c r="B39" s="8"/>
      <c r="C39" s="28" t="s">
        <v>4</v>
      </c>
      <c r="D39" s="29" t="s">
        <v>5</v>
      </c>
      <c r="E39" s="29" t="s">
        <v>6</v>
      </c>
      <c r="F39" s="30" t="s">
        <v>7</v>
      </c>
      <c r="G39" s="29" t="s">
        <v>8</v>
      </c>
      <c r="H39" s="29" t="s">
        <v>9</v>
      </c>
      <c r="I39" s="31" t="s">
        <v>10</v>
      </c>
      <c r="J39" s="32" t="s">
        <v>11</v>
      </c>
      <c r="K39" s="22" t="str">
        <f>IF(AND(ISNUMBER(N39),ISNUMBER(N40),ISNUMBER(N41),ISNUMBER(N42),ISNUMBER(N43),ISNUMBER(N44),ISNUMBER(P39),ISNUMBER(P40),ISNUMBER(P41),ISNUMBER(P42),ISNUMBER(P43),ISNUMBER(P44)),"GROUP COMPLETE","incomplete")</f>
        <v>incomplete</v>
      </c>
      <c r="L39" s="9"/>
      <c r="M39" s="23" t="str">
        <f>I_Team1</f>
        <v>France</v>
      </c>
      <c r="N39" s="71"/>
      <c r="O39" s="24" t="s">
        <v>12</v>
      </c>
      <c r="P39" s="71"/>
      <c r="Q39" s="25" t="str">
        <f>I_Team2</f>
        <v>Senegal</v>
      </c>
      <c r="R39" s="26"/>
      <c r="S39" s="27"/>
      <c r="T39" s="23" t="str">
        <f>J_Team1</f>
        <v>Argentina</v>
      </c>
      <c r="U39" s="71"/>
      <c r="V39" s="24" t="s">
        <v>12</v>
      </c>
      <c r="W39" s="71"/>
      <c r="X39" s="25" t="str">
        <f>J_Team2</f>
        <v>Algeria</v>
      </c>
      <c r="Y39" s="7"/>
      <c r="Z39" s="8"/>
      <c r="AA39" s="28" t="s">
        <v>4</v>
      </c>
      <c r="AB39" s="29" t="s">
        <v>5</v>
      </c>
      <c r="AC39" s="29" t="s">
        <v>6</v>
      </c>
      <c r="AD39" s="30" t="s">
        <v>7</v>
      </c>
      <c r="AE39" s="29" t="s">
        <v>8</v>
      </c>
      <c r="AF39" s="29" t="s">
        <v>9</v>
      </c>
      <c r="AG39" s="31" t="s">
        <v>10</v>
      </c>
      <c r="AH39" s="32" t="s">
        <v>11</v>
      </c>
      <c r="AI39" s="22" t="str">
        <f>IF(AND(ISNUMBER(U39),ISNUMBER(U40),ISNUMBER(U41),ISNUMBER(U42),ISNUMBER(U43),ISNUMBER(U44),ISNUMBER(W39),ISNUMBER(W40),ISNUMBER(W41),ISNUMBER(W42),ISNUMBER(W43),ISNUMBER(W44)),"GROUP COMPLETE","incomplete")</f>
        <v>incomplete</v>
      </c>
      <c r="AJ39" s="9"/>
    </row>
    <row r="40" spans="1:36" ht="12" customHeight="1" x14ac:dyDescent="0.25">
      <c r="A40" s="77" t="str">
        <f>IF(K39="GROUP COMPLETE","1st","")</f>
        <v/>
      </c>
      <c r="B40" s="77"/>
      <c r="C40" s="33" t="str" cm="1">
        <f t="array" ref="C40:J43">_xlfn._xlws.SORT(C86:J89,{8,7,5},{-1,-1,-1},FALSE)</f>
        <v>France</v>
      </c>
      <c r="D40" s="38">
        <v>0</v>
      </c>
      <c r="E40" s="38">
        <v>0</v>
      </c>
      <c r="F40" s="39">
        <v>0</v>
      </c>
      <c r="G40" s="38">
        <v>0</v>
      </c>
      <c r="H40" s="38">
        <v>0</v>
      </c>
      <c r="I40" s="38">
        <v>0</v>
      </c>
      <c r="J40" s="40">
        <v>0</v>
      </c>
      <c r="K40" s="8"/>
      <c r="L40" s="9"/>
      <c r="M40" s="23" t="str">
        <f>I_Team3</f>
        <v>Iraq</v>
      </c>
      <c r="N40" s="71"/>
      <c r="O40" s="24" t="s">
        <v>12</v>
      </c>
      <c r="P40" s="71"/>
      <c r="Q40" s="25" t="str">
        <f>I_Team4</f>
        <v>Norway</v>
      </c>
      <c r="R40" s="26"/>
      <c r="S40" s="27"/>
      <c r="T40" s="23" t="str">
        <f>J_Team3</f>
        <v>Austria</v>
      </c>
      <c r="U40" s="71"/>
      <c r="V40" s="24" t="s">
        <v>12</v>
      </c>
      <c r="W40" s="71"/>
      <c r="X40" s="25" t="str">
        <f>J_Team4</f>
        <v>Jordan</v>
      </c>
      <c r="Y40" s="77" t="str">
        <f>IF(AI39="GROUP COMPLETE","1st","")</f>
        <v/>
      </c>
      <c r="Z40" s="77"/>
      <c r="AA40" s="37" t="str" cm="1">
        <f t="array" ref="AA40:AH43">_xlfn._xlws.SORT(AA86:AH89,{8,7,5},{-1,-1,-1},FALSE)</f>
        <v>Argentina</v>
      </c>
      <c r="AB40" s="38">
        <v>0</v>
      </c>
      <c r="AC40" s="38">
        <v>0</v>
      </c>
      <c r="AD40" s="39">
        <v>0</v>
      </c>
      <c r="AE40" s="38">
        <v>0</v>
      </c>
      <c r="AF40" s="38">
        <v>0</v>
      </c>
      <c r="AG40" s="38">
        <v>0</v>
      </c>
      <c r="AH40" s="40">
        <v>0</v>
      </c>
      <c r="AI40" s="8"/>
      <c r="AJ40" s="9"/>
    </row>
    <row r="41" spans="1:36" ht="12" customHeight="1" x14ac:dyDescent="0.25">
      <c r="A41" s="77" t="str">
        <f>IF(K39="GROUP COMPLETE","2nd","")</f>
        <v/>
      </c>
      <c r="B41" s="77"/>
      <c r="C41" s="37" t="str">
        <v>Senegal</v>
      </c>
      <c r="D41" s="38">
        <v>0</v>
      </c>
      <c r="E41" s="38">
        <v>0</v>
      </c>
      <c r="F41" s="39">
        <v>0</v>
      </c>
      <c r="G41" s="38">
        <v>0</v>
      </c>
      <c r="H41" s="38">
        <v>0</v>
      </c>
      <c r="I41" s="38">
        <v>0</v>
      </c>
      <c r="J41" s="40">
        <v>0</v>
      </c>
      <c r="K41" s="8"/>
      <c r="L41" s="9"/>
      <c r="M41" s="23" t="str">
        <f>I_Team4</f>
        <v>Norway</v>
      </c>
      <c r="N41" s="71"/>
      <c r="O41" s="24" t="s">
        <v>12</v>
      </c>
      <c r="P41" s="71"/>
      <c r="Q41" s="25" t="str">
        <f>I_Team2</f>
        <v>Senegal</v>
      </c>
      <c r="R41" s="26"/>
      <c r="S41" s="27"/>
      <c r="T41" s="23" t="str">
        <f>J_Team1</f>
        <v>Argentina</v>
      </c>
      <c r="U41" s="71"/>
      <c r="V41" s="24" t="s">
        <v>12</v>
      </c>
      <c r="W41" s="71"/>
      <c r="X41" s="25" t="str">
        <f>J_Team3</f>
        <v>Austria</v>
      </c>
      <c r="Y41" s="77" t="str">
        <f>IF(AI39="GROUP COMPLETE","2nd","")</f>
        <v/>
      </c>
      <c r="Z41" s="77"/>
      <c r="AA41" s="37" t="str">
        <v>Algeria</v>
      </c>
      <c r="AB41" s="38">
        <v>0</v>
      </c>
      <c r="AC41" s="38">
        <v>0</v>
      </c>
      <c r="AD41" s="39">
        <v>0</v>
      </c>
      <c r="AE41" s="38">
        <v>0</v>
      </c>
      <c r="AF41" s="38">
        <v>0</v>
      </c>
      <c r="AG41" s="38">
        <v>0</v>
      </c>
      <c r="AH41" s="40">
        <v>0</v>
      </c>
      <c r="AI41" s="8"/>
      <c r="AJ41" s="9"/>
    </row>
    <row r="42" spans="1:36" ht="12" customHeight="1" x14ac:dyDescent="0.25">
      <c r="A42" s="77" t="str">
        <f>IF(K39="GROUP COMPLETE","3rd","")</f>
        <v/>
      </c>
      <c r="B42" s="77"/>
      <c r="C42" s="37" t="str">
        <v>Iraq</v>
      </c>
      <c r="D42" s="38">
        <v>0</v>
      </c>
      <c r="E42" s="38">
        <v>0</v>
      </c>
      <c r="F42" s="39">
        <v>0</v>
      </c>
      <c r="G42" s="38">
        <v>0</v>
      </c>
      <c r="H42" s="38">
        <v>0</v>
      </c>
      <c r="I42" s="38">
        <v>0</v>
      </c>
      <c r="J42" s="40">
        <v>0</v>
      </c>
      <c r="K42" s="8"/>
      <c r="L42" s="9"/>
      <c r="M42" s="23" t="str">
        <f>I_Team1</f>
        <v>France</v>
      </c>
      <c r="N42" s="71"/>
      <c r="O42" s="24" t="s">
        <v>12</v>
      </c>
      <c r="P42" s="71"/>
      <c r="Q42" s="25" t="str">
        <f>I_Team3</f>
        <v>Iraq</v>
      </c>
      <c r="R42" s="26"/>
      <c r="S42" s="27"/>
      <c r="T42" s="23" t="str">
        <f>J_Team4</f>
        <v>Jordan</v>
      </c>
      <c r="U42" s="71"/>
      <c r="V42" s="24" t="s">
        <v>12</v>
      </c>
      <c r="W42" s="71"/>
      <c r="X42" s="25" t="str">
        <f>J_Team2</f>
        <v>Algeria</v>
      </c>
      <c r="Y42" s="77" t="str">
        <f>IF(AI39="GROUP COMPLETE","3rd","")</f>
        <v/>
      </c>
      <c r="Z42" s="77"/>
      <c r="AA42" s="37" t="str">
        <v>Austria</v>
      </c>
      <c r="AB42" s="38">
        <v>0</v>
      </c>
      <c r="AC42" s="38">
        <v>0</v>
      </c>
      <c r="AD42" s="39">
        <v>0</v>
      </c>
      <c r="AE42" s="38">
        <v>0</v>
      </c>
      <c r="AF42" s="38">
        <v>0</v>
      </c>
      <c r="AG42" s="38">
        <v>0</v>
      </c>
      <c r="AH42" s="40">
        <v>0</v>
      </c>
      <c r="AI42" s="8"/>
      <c r="AJ42" s="9"/>
    </row>
    <row r="43" spans="1:36" ht="12" customHeight="1" thickBot="1" x14ac:dyDescent="0.3">
      <c r="A43" s="77" t="str">
        <f>IF(K39="GROUP COMPLETE","4th","")</f>
        <v/>
      </c>
      <c r="B43" s="77"/>
      <c r="C43" s="46" t="str">
        <v>Norway</v>
      </c>
      <c r="D43" s="47">
        <v>0</v>
      </c>
      <c r="E43" s="47">
        <v>0</v>
      </c>
      <c r="F43" s="48">
        <v>0</v>
      </c>
      <c r="G43" s="47">
        <v>0</v>
      </c>
      <c r="H43" s="47">
        <v>0</v>
      </c>
      <c r="I43" s="47">
        <v>0</v>
      </c>
      <c r="J43" s="49">
        <v>0</v>
      </c>
      <c r="K43" s="8"/>
      <c r="L43" s="9"/>
      <c r="M43" s="23" t="str">
        <f>I_Team4</f>
        <v>Norway</v>
      </c>
      <c r="N43" s="71"/>
      <c r="O43" s="24" t="s">
        <v>12</v>
      </c>
      <c r="P43" s="71"/>
      <c r="Q43" s="25" t="str">
        <f>I_Team1</f>
        <v>France</v>
      </c>
      <c r="R43" s="26"/>
      <c r="S43" s="27"/>
      <c r="T43" s="23" t="str">
        <f>J_Team2</f>
        <v>Algeria</v>
      </c>
      <c r="U43" s="71"/>
      <c r="V43" s="24" t="s">
        <v>12</v>
      </c>
      <c r="W43" s="71"/>
      <c r="X43" s="25" t="str">
        <f>J_Team3</f>
        <v>Austria</v>
      </c>
      <c r="Y43" s="77" t="str">
        <f>IF(AI39="GROUP COMPLETE","4th","")</f>
        <v/>
      </c>
      <c r="Z43" s="77"/>
      <c r="AA43" s="46" t="str">
        <v>Jordan</v>
      </c>
      <c r="AB43" s="47">
        <v>0</v>
      </c>
      <c r="AC43" s="47">
        <v>0</v>
      </c>
      <c r="AD43" s="48">
        <v>0</v>
      </c>
      <c r="AE43" s="47">
        <v>0</v>
      </c>
      <c r="AF43" s="47">
        <v>0</v>
      </c>
      <c r="AG43" s="47">
        <v>0</v>
      </c>
      <c r="AH43" s="49">
        <v>0</v>
      </c>
      <c r="AI43" s="8"/>
      <c r="AJ43" s="9"/>
    </row>
    <row r="44" spans="1:36" ht="12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23" t="str">
        <f>I_Team2</f>
        <v>Senegal</v>
      </c>
      <c r="N44" s="71"/>
      <c r="O44" s="24" t="s">
        <v>12</v>
      </c>
      <c r="P44" s="71"/>
      <c r="Q44" s="25" t="str">
        <f>I_Team3</f>
        <v>Iraq</v>
      </c>
      <c r="R44" s="26"/>
      <c r="S44" s="27"/>
      <c r="T44" s="23" t="str">
        <f>J_Team4</f>
        <v>Jordan</v>
      </c>
      <c r="U44" s="71"/>
      <c r="V44" s="24" t="s">
        <v>12</v>
      </c>
      <c r="W44" s="71"/>
      <c r="X44" s="25" t="str">
        <f>J_Team1</f>
        <v>Argentina</v>
      </c>
      <c r="Y44" s="7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9"/>
    </row>
    <row r="45" spans="1:36" ht="12" customHeight="1" thickBot="1" x14ac:dyDescent="0.3">
      <c r="A45" s="50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2"/>
      <c r="M45" s="53"/>
      <c r="N45" s="54"/>
      <c r="O45" s="55">
        <f>SUM(N39:N44)+SUM(P39:P44)</f>
        <v>0</v>
      </c>
      <c r="P45" s="54"/>
      <c r="Q45" s="56"/>
      <c r="R45" s="61"/>
      <c r="S45" s="62"/>
      <c r="T45" s="54"/>
      <c r="U45" s="54"/>
      <c r="V45" s="55">
        <f>SUM(U39:U44)+SUM(W39:W44)</f>
        <v>0</v>
      </c>
      <c r="W45" s="54"/>
      <c r="X45" s="58"/>
      <c r="Y45" s="50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2"/>
    </row>
    <row r="46" spans="1:36" ht="12" customHeight="1" x14ac:dyDescent="0.25">
      <c r="A46" s="1" t="str">
        <f>IF(OR(AND(J49=3,J50=3,J51=3,J52=3),AND(B46="ties",K48="GROUP COMPLETE")),"TIES","OK")</f>
        <v>OK</v>
      </c>
      <c r="B46" s="2" t="str">
        <f>IF([1]GroupK!$AG$6=10,"",IF(AND([1]GroupK!$AN$6&lt;&gt;24,[1]GroupK!$AJ$6&lt;&gt;24,[1]GroupK!$AG$6&lt;&gt;24,OR([1]GroupK!$AT$6=10,[1]GroupK!$AU$6=10)),"ties","group good"))</f>
        <v>group good</v>
      </c>
      <c r="C46" s="3"/>
      <c r="D46" s="3"/>
      <c r="E46" s="3"/>
      <c r="F46" s="3"/>
      <c r="G46" s="3"/>
      <c r="H46" s="3"/>
      <c r="I46" s="3"/>
      <c r="J46" s="3"/>
      <c r="K46" s="3"/>
      <c r="L46" s="4"/>
      <c r="M46" s="78" t="s">
        <v>29</v>
      </c>
      <c r="N46" s="78"/>
      <c r="O46" s="78"/>
      <c r="P46" s="78"/>
      <c r="Q46" s="78"/>
      <c r="R46" s="59"/>
      <c r="S46" s="14"/>
      <c r="T46" s="79" t="s">
        <v>30</v>
      </c>
      <c r="U46" s="79"/>
      <c r="V46" s="79"/>
      <c r="W46" s="79"/>
      <c r="X46" s="79"/>
      <c r="Y46" s="1" t="str">
        <f>IF(OR(AND(AH49=3,AH50=3,AH51=3,AH52=3),AND(Z46="ties",AI48="GROUP COMPLETE")),"TIES","OK")</f>
        <v>OK</v>
      </c>
      <c r="Z46" s="2" t="str">
        <f>IF([1]GroupL!$AG$6=10,"",IF(AND([1]GroupL!$AN$6&lt;&gt;24,[1]GroupL!$AJ$6&lt;&gt;24,[1]GroupL!$AG$6&lt;&gt;24,OR([1]GroupL!$AT$6=10,[1]GroupL!$AU$6=10)),"ties","group good"))</f>
        <v/>
      </c>
      <c r="AA46" s="3"/>
      <c r="AB46" s="3"/>
      <c r="AC46" s="3"/>
      <c r="AD46" s="3"/>
      <c r="AE46" s="3"/>
      <c r="AF46" s="3"/>
      <c r="AG46" s="3"/>
      <c r="AH46" s="3"/>
      <c r="AI46" s="3"/>
      <c r="AJ46" s="4"/>
    </row>
    <row r="47" spans="1:36" ht="12" customHeight="1" thickBot="1" x14ac:dyDescent="0.3">
      <c r="A47" s="7"/>
      <c r="B47" s="8"/>
      <c r="C47" s="80" t="s">
        <v>31</v>
      </c>
      <c r="D47" s="80"/>
      <c r="E47" s="80"/>
      <c r="F47" s="80"/>
      <c r="G47" s="80"/>
      <c r="H47" s="80"/>
      <c r="I47" s="80"/>
      <c r="J47" s="80"/>
      <c r="K47" s="8"/>
      <c r="L47" s="9"/>
      <c r="M47" s="60"/>
      <c r="N47" s="15"/>
      <c r="O47" s="15"/>
      <c r="P47" s="15"/>
      <c r="Q47" s="15"/>
      <c r="R47" s="13"/>
      <c r="S47" s="14"/>
      <c r="T47" s="15"/>
      <c r="U47" s="15"/>
      <c r="V47" s="15"/>
      <c r="W47" s="15"/>
      <c r="X47" s="16"/>
      <c r="Y47" s="7"/>
      <c r="Z47" s="8"/>
      <c r="AA47" s="80" t="s">
        <v>32</v>
      </c>
      <c r="AB47" s="80"/>
      <c r="AC47" s="80"/>
      <c r="AD47" s="80"/>
      <c r="AE47" s="80"/>
      <c r="AF47" s="80"/>
      <c r="AG47" s="80"/>
      <c r="AH47" s="80"/>
      <c r="AI47" s="8"/>
      <c r="AJ47" s="9"/>
    </row>
    <row r="48" spans="1:36" ht="12" customHeight="1" thickBot="1" x14ac:dyDescent="0.3">
      <c r="A48" s="7"/>
      <c r="B48" s="8"/>
      <c r="C48" s="28" t="s">
        <v>4</v>
      </c>
      <c r="D48" s="29" t="s">
        <v>5</v>
      </c>
      <c r="E48" s="29" t="s">
        <v>6</v>
      </c>
      <c r="F48" s="30" t="s">
        <v>7</v>
      </c>
      <c r="G48" s="29" t="s">
        <v>8</v>
      </c>
      <c r="H48" s="29" t="s">
        <v>9</v>
      </c>
      <c r="I48" s="31" t="s">
        <v>10</v>
      </c>
      <c r="J48" s="32" t="s">
        <v>11</v>
      </c>
      <c r="K48" s="22" t="str">
        <f>IF(AND(ISNUMBER(N48),ISNUMBER(N49),ISNUMBER(N50),ISNUMBER(N51),ISNUMBER(N52),ISNUMBER(N53),ISNUMBER(P48),ISNUMBER(P49),ISNUMBER(P50),ISNUMBER(P51),ISNUMBER(P52),ISNUMBER(P53)),"GROUP COMPLETE","incomplete")</f>
        <v>incomplete</v>
      </c>
      <c r="L48" s="9"/>
      <c r="M48" s="23" t="str">
        <f>K_Team1</f>
        <v>Portugal</v>
      </c>
      <c r="N48" s="71"/>
      <c r="O48" s="24" t="s">
        <v>12</v>
      </c>
      <c r="P48" s="71"/>
      <c r="Q48" s="25" t="str">
        <f>K_Team2</f>
        <v>Congo</v>
      </c>
      <c r="R48" s="26"/>
      <c r="S48" s="27"/>
      <c r="T48" s="23" t="str">
        <f>L_Team3</f>
        <v>Ghana</v>
      </c>
      <c r="U48" s="71"/>
      <c r="V48" s="24" t="s">
        <v>12</v>
      </c>
      <c r="W48" s="71"/>
      <c r="X48" s="25" t="str">
        <f>L_Team4</f>
        <v>Panama</v>
      </c>
      <c r="Y48" s="7"/>
      <c r="Z48" s="8"/>
      <c r="AA48" s="28" t="s">
        <v>4</v>
      </c>
      <c r="AB48" s="29" t="s">
        <v>5</v>
      </c>
      <c r="AC48" s="29" t="s">
        <v>6</v>
      </c>
      <c r="AD48" s="30" t="s">
        <v>7</v>
      </c>
      <c r="AE48" s="29" t="s">
        <v>8</v>
      </c>
      <c r="AF48" s="29" t="s">
        <v>9</v>
      </c>
      <c r="AG48" s="31" t="s">
        <v>10</v>
      </c>
      <c r="AH48" s="32" t="s">
        <v>11</v>
      </c>
      <c r="AI48" s="22" t="str">
        <f>IF(AND(ISNUMBER(U48),ISNUMBER(U49),ISNUMBER(U50),ISNUMBER(U51),ISNUMBER(U52),ISNUMBER(U53),ISNUMBER(W48),ISNUMBER(W49),ISNUMBER(W50),ISNUMBER(W51),ISNUMBER(W52),ISNUMBER(W53)),"GROUP COMPLETE","incomplete")</f>
        <v>incomplete</v>
      </c>
      <c r="AJ48" s="9"/>
    </row>
    <row r="49" spans="1:36" ht="12" customHeight="1" x14ac:dyDescent="0.25">
      <c r="A49" s="77" t="str">
        <f>IF(K48="GROUP COMPLETE","1st","")</f>
        <v/>
      </c>
      <c r="B49" s="77"/>
      <c r="C49" s="33" t="str" cm="1">
        <f t="array" ref="C49:J52">_xlfn._xlws.SORT(C93:J96,{8,7,5},{-1,-1,-1},FALSE)</f>
        <v>Portugal</v>
      </c>
      <c r="D49" s="38">
        <v>0</v>
      </c>
      <c r="E49" s="38">
        <v>0</v>
      </c>
      <c r="F49" s="39">
        <v>0</v>
      </c>
      <c r="G49" s="38">
        <v>0</v>
      </c>
      <c r="H49" s="38">
        <v>0</v>
      </c>
      <c r="I49" s="38">
        <v>0</v>
      </c>
      <c r="J49" s="40">
        <v>0</v>
      </c>
      <c r="K49" s="8"/>
      <c r="L49" s="9"/>
      <c r="M49" s="23" t="str">
        <f>K_Team3</f>
        <v>Uzbekistan</v>
      </c>
      <c r="N49" s="71"/>
      <c r="O49" s="24" t="s">
        <v>12</v>
      </c>
      <c r="P49" s="71"/>
      <c r="Q49" s="25" t="str">
        <f>K_Team4</f>
        <v>Colombia</v>
      </c>
      <c r="R49" s="26"/>
      <c r="S49" s="27"/>
      <c r="T49" s="23" t="str">
        <f>L_Team1</f>
        <v>England</v>
      </c>
      <c r="U49" s="71"/>
      <c r="V49" s="24" t="s">
        <v>12</v>
      </c>
      <c r="W49" s="71"/>
      <c r="X49" s="25" t="str">
        <f>L_Team2</f>
        <v>Croatia</v>
      </c>
      <c r="Y49" s="77" t="str">
        <f>IF(AI48="GROUP COMPLETE","1st","")</f>
        <v/>
      </c>
      <c r="Z49" s="77"/>
      <c r="AA49" s="37" t="str" cm="1">
        <f t="array" ref="AA49:AH52">_xlfn._xlws.SORT(AA93:AH96,{8,7,5},{-1,-1,-1},FALSE)</f>
        <v>England</v>
      </c>
      <c r="AB49" s="38">
        <v>0</v>
      </c>
      <c r="AC49" s="38">
        <v>0</v>
      </c>
      <c r="AD49" s="39">
        <v>0</v>
      </c>
      <c r="AE49" s="38">
        <v>0</v>
      </c>
      <c r="AF49" s="38">
        <v>0</v>
      </c>
      <c r="AG49" s="38">
        <v>0</v>
      </c>
      <c r="AH49" s="40">
        <v>0</v>
      </c>
      <c r="AI49" s="8"/>
      <c r="AJ49" s="9"/>
    </row>
    <row r="50" spans="1:36" ht="12" customHeight="1" x14ac:dyDescent="0.25">
      <c r="A50" s="77" t="str">
        <f>IF(K48="GROUP COMPLETE","2nd","")</f>
        <v/>
      </c>
      <c r="B50" s="77"/>
      <c r="C50" s="37" t="str">
        <v>Congo</v>
      </c>
      <c r="D50" s="38">
        <v>0</v>
      </c>
      <c r="E50" s="38">
        <v>0</v>
      </c>
      <c r="F50" s="39">
        <v>0</v>
      </c>
      <c r="G50" s="38">
        <v>0</v>
      </c>
      <c r="H50" s="38">
        <v>0</v>
      </c>
      <c r="I50" s="38">
        <v>0</v>
      </c>
      <c r="J50" s="40">
        <v>0</v>
      </c>
      <c r="K50" s="8"/>
      <c r="L50" s="9"/>
      <c r="M50" s="23" t="str">
        <f>K_Team1</f>
        <v>Portugal</v>
      </c>
      <c r="N50" s="71"/>
      <c r="O50" s="24" t="s">
        <v>12</v>
      </c>
      <c r="P50" s="71"/>
      <c r="Q50" s="25" t="str">
        <f>K_Team3</f>
        <v>Uzbekistan</v>
      </c>
      <c r="R50" s="26"/>
      <c r="S50" s="27"/>
      <c r="T50" s="23" t="str">
        <f>L_Team1</f>
        <v>England</v>
      </c>
      <c r="U50" s="71"/>
      <c r="V50" s="24" t="s">
        <v>12</v>
      </c>
      <c r="W50" s="71"/>
      <c r="X50" s="25" t="str">
        <f>L_Team3</f>
        <v>Ghana</v>
      </c>
      <c r="Y50" s="77" t="str">
        <f>IF(AI48="GROUP COMPLETE","2nd","")</f>
        <v/>
      </c>
      <c r="Z50" s="77"/>
      <c r="AA50" s="37" t="str">
        <v>Croatia</v>
      </c>
      <c r="AB50" s="38">
        <v>0</v>
      </c>
      <c r="AC50" s="38">
        <v>0</v>
      </c>
      <c r="AD50" s="39">
        <v>0</v>
      </c>
      <c r="AE50" s="38">
        <v>0</v>
      </c>
      <c r="AF50" s="38">
        <v>0</v>
      </c>
      <c r="AG50" s="38">
        <v>0</v>
      </c>
      <c r="AH50" s="40">
        <v>0</v>
      </c>
      <c r="AI50" s="8"/>
      <c r="AJ50" s="9"/>
    </row>
    <row r="51" spans="1:36" ht="12" customHeight="1" x14ac:dyDescent="0.25">
      <c r="A51" s="77" t="str">
        <f>IF(K48="GROUP COMPLETE","3rd","")</f>
        <v/>
      </c>
      <c r="B51" s="77"/>
      <c r="C51" s="37" t="str">
        <v>Uzbekistan</v>
      </c>
      <c r="D51" s="38">
        <v>0</v>
      </c>
      <c r="E51" s="38">
        <v>0</v>
      </c>
      <c r="F51" s="39">
        <v>0</v>
      </c>
      <c r="G51" s="38">
        <v>0</v>
      </c>
      <c r="H51" s="38">
        <v>0</v>
      </c>
      <c r="I51" s="38">
        <v>0</v>
      </c>
      <c r="J51" s="40">
        <v>0</v>
      </c>
      <c r="K51" s="8"/>
      <c r="L51" s="9"/>
      <c r="M51" s="23" t="str">
        <f>K_Team4</f>
        <v>Colombia</v>
      </c>
      <c r="N51" s="71"/>
      <c r="O51" s="24" t="s">
        <v>12</v>
      </c>
      <c r="P51" s="71"/>
      <c r="Q51" s="25" t="str">
        <f>K_Team2</f>
        <v>Congo</v>
      </c>
      <c r="R51" s="26"/>
      <c r="S51" s="27"/>
      <c r="T51" s="23" t="str">
        <f>L_Team4</f>
        <v>Panama</v>
      </c>
      <c r="U51" s="71"/>
      <c r="V51" s="24" t="s">
        <v>12</v>
      </c>
      <c r="W51" s="71"/>
      <c r="X51" s="25" t="str">
        <f>L_Team2</f>
        <v>Croatia</v>
      </c>
      <c r="Y51" s="77" t="str">
        <f>IF(AI48="GROUP COMPLETE","3rd","")</f>
        <v/>
      </c>
      <c r="Z51" s="77"/>
      <c r="AA51" s="37" t="str">
        <v>Ghana</v>
      </c>
      <c r="AB51" s="38">
        <v>0</v>
      </c>
      <c r="AC51" s="38">
        <v>0</v>
      </c>
      <c r="AD51" s="39">
        <v>0</v>
      </c>
      <c r="AE51" s="38">
        <v>0</v>
      </c>
      <c r="AF51" s="38">
        <v>0</v>
      </c>
      <c r="AG51" s="38">
        <v>0</v>
      </c>
      <c r="AH51" s="40">
        <v>0</v>
      </c>
      <c r="AI51" s="8"/>
      <c r="AJ51" s="9"/>
    </row>
    <row r="52" spans="1:36" ht="12" customHeight="1" thickBot="1" x14ac:dyDescent="0.3">
      <c r="A52" s="77" t="str">
        <f>IF(K48="GROUP COMPLETE","4th","")</f>
        <v/>
      </c>
      <c r="B52" s="77"/>
      <c r="C52" s="46" t="str">
        <v>Colombia</v>
      </c>
      <c r="D52" s="47">
        <v>0</v>
      </c>
      <c r="E52" s="47">
        <v>0</v>
      </c>
      <c r="F52" s="48">
        <v>0</v>
      </c>
      <c r="G52" s="47">
        <v>0</v>
      </c>
      <c r="H52" s="47">
        <v>0</v>
      </c>
      <c r="I52" s="47">
        <v>0</v>
      </c>
      <c r="J52" s="49">
        <v>0</v>
      </c>
      <c r="K52" s="8"/>
      <c r="L52" s="9"/>
      <c r="M52" s="23" t="str">
        <f>K_Team4</f>
        <v>Colombia</v>
      </c>
      <c r="N52" s="71"/>
      <c r="O52" s="24" t="s">
        <v>12</v>
      </c>
      <c r="P52" s="71"/>
      <c r="Q52" s="25" t="str">
        <f>K_Team1</f>
        <v>Portugal</v>
      </c>
      <c r="R52" s="26"/>
      <c r="S52" s="27"/>
      <c r="T52" s="23" t="str">
        <f>L_Team4</f>
        <v>Panama</v>
      </c>
      <c r="U52" s="71"/>
      <c r="V52" s="24" t="s">
        <v>12</v>
      </c>
      <c r="W52" s="71"/>
      <c r="X52" s="25" t="str">
        <f>L_Team1</f>
        <v>England</v>
      </c>
      <c r="Y52" s="77" t="str">
        <f>IF(AI48="GROUP COMPLETE","4th","")</f>
        <v/>
      </c>
      <c r="Z52" s="77"/>
      <c r="AA52" s="46" t="str">
        <v>Panama</v>
      </c>
      <c r="AB52" s="47">
        <v>0</v>
      </c>
      <c r="AC52" s="47">
        <v>0</v>
      </c>
      <c r="AD52" s="48">
        <v>0</v>
      </c>
      <c r="AE52" s="47">
        <v>0</v>
      </c>
      <c r="AF52" s="47">
        <v>0</v>
      </c>
      <c r="AG52" s="47">
        <v>0</v>
      </c>
      <c r="AH52" s="49">
        <v>0</v>
      </c>
      <c r="AI52" s="8"/>
      <c r="AJ52" s="9"/>
    </row>
    <row r="53" spans="1:36" ht="12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M53" s="23" t="str">
        <f>K_Team2</f>
        <v>Congo</v>
      </c>
      <c r="N53" s="71"/>
      <c r="O53" s="24" t="s">
        <v>12</v>
      </c>
      <c r="P53" s="71"/>
      <c r="Q53" s="25" t="str">
        <f>K_Team3</f>
        <v>Uzbekistan</v>
      </c>
      <c r="R53" s="26"/>
      <c r="S53" s="27"/>
      <c r="T53" s="23" t="str">
        <f>L_Team2</f>
        <v>Croatia</v>
      </c>
      <c r="U53" s="71"/>
      <c r="V53" s="24" t="s">
        <v>12</v>
      </c>
      <c r="W53" s="71"/>
      <c r="X53" s="25" t="str">
        <f>L_Team3</f>
        <v>Ghana</v>
      </c>
      <c r="Y53" s="7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9"/>
    </row>
    <row r="54" spans="1:36" ht="12" customHeight="1" thickBot="1" x14ac:dyDescent="0.3">
      <c r="A54" s="50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2"/>
      <c r="M54" s="53"/>
      <c r="N54" s="54"/>
      <c r="O54" s="55">
        <f>SUM(N48:N53)+SUM(P48:P53)</f>
        <v>0</v>
      </c>
      <c r="P54" s="54"/>
      <c r="Q54" s="56"/>
      <c r="R54" s="61"/>
      <c r="S54" s="62"/>
      <c r="T54" s="54"/>
      <c r="U54" s="54"/>
      <c r="V54" s="55">
        <f>SUM(U48:U53)+SUM(W48:W53)</f>
        <v>0</v>
      </c>
      <c r="W54" s="54"/>
      <c r="X54" s="58"/>
      <c r="Y54" s="50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2"/>
    </row>
    <row r="56" spans="1:36" ht="12" customHeight="1" x14ac:dyDescent="0.25">
      <c r="B56" s="75"/>
      <c r="C56" s="82" t="s">
        <v>35</v>
      </c>
      <c r="D56" s="82"/>
      <c r="E56" s="82"/>
      <c r="F56" s="82"/>
      <c r="G56" s="82"/>
      <c r="H56" s="82"/>
      <c r="I56" s="82"/>
      <c r="J56" s="82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82" t="s">
        <v>64</v>
      </c>
      <c r="AB56" s="82"/>
      <c r="AC56" s="82"/>
      <c r="AD56" s="82"/>
      <c r="AE56" s="82"/>
      <c r="AF56" s="82"/>
      <c r="AG56" s="82"/>
      <c r="AH56" s="82"/>
      <c r="AI56" s="75"/>
      <c r="AJ56" s="75"/>
    </row>
    <row r="57" spans="1:36" ht="12" customHeight="1" x14ac:dyDescent="0.25">
      <c r="B57" s="75"/>
      <c r="C57" s="75" t="s">
        <v>4</v>
      </c>
      <c r="D57" s="75" t="s">
        <v>5</v>
      </c>
      <c r="E57" s="75" t="s">
        <v>6</v>
      </c>
      <c r="F57" s="75" t="s">
        <v>7</v>
      </c>
      <c r="G57" s="75" t="s">
        <v>8</v>
      </c>
      <c r="H57" s="75" t="s">
        <v>9</v>
      </c>
      <c r="I57" s="75" t="s">
        <v>10</v>
      </c>
      <c r="J57" s="75" t="s">
        <v>11</v>
      </c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 t="s">
        <v>4</v>
      </c>
      <c r="AB57" s="75" t="s">
        <v>5</v>
      </c>
      <c r="AC57" s="75" t="s">
        <v>6</v>
      </c>
      <c r="AD57" s="75" t="s">
        <v>7</v>
      </c>
      <c r="AE57" s="75" t="s">
        <v>8</v>
      </c>
      <c r="AF57" s="75" t="s">
        <v>9</v>
      </c>
      <c r="AG57" s="75" t="s">
        <v>10</v>
      </c>
      <c r="AH57" s="75" t="s">
        <v>11</v>
      </c>
      <c r="AI57" s="75"/>
      <c r="AJ57" s="75"/>
    </row>
    <row r="58" spans="1:36" ht="12" customHeight="1" x14ac:dyDescent="0.25">
      <c r="B58" s="75"/>
      <c r="C58" s="75" t="s">
        <v>33</v>
      </c>
      <c r="D58" s="75" cm="1">
        <f t="array" ref="D58">SUMPRODUCT((M$3:M$8=C58)*(N$3:N$8&gt;P$3:P$8)) + SUMPRODUCT((Q$3:Q$8=C58)*(P$3:P$8&gt;N$3:N$8))</f>
        <v>0</v>
      </c>
      <c r="E58" s="75" cm="1">
        <f t="array" ref="E58">SUMPRODUCT(((M$3:M$8=C58)+(Q$3:Q$8=C58))*(N$3:N$8=P$3:P$8)*(N$3:N$8&lt;&gt;""))</f>
        <v>0</v>
      </c>
      <c r="F58" s="75" cm="1">
        <f t="array" ref="F58">SUMPRODUCT((M$3:M$8=C58)*(N$3:N$8&lt;P$3:P$8)*(N$3:N$8&lt;&gt;"")) + SUMPRODUCT((Q$3:Q$8=C58)*(P$3:P$8&lt;N$3:N$8)*(P$3:P$8&lt;&gt;""))</f>
        <v>0</v>
      </c>
      <c r="G58" s="75">
        <f>SUMIF(M$3:M$8, C58, N$3:N$8) + SUMIF(Q$3:Q$8, C58, P$3:P$8)</f>
        <v>0</v>
      </c>
      <c r="H58" s="75">
        <f>SUMIF(M$3:M$8, C58, P$3:P$8) + SUMIF(Q$3:Q$8, C58, N$3:N$8)</f>
        <v>0</v>
      </c>
      <c r="I58" s="75">
        <f>G58 - H58</f>
        <v>0</v>
      </c>
      <c r="J58" s="75">
        <f>(D58 * 3) + E58</f>
        <v>0</v>
      </c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 t="s">
        <v>61</v>
      </c>
      <c r="AB58" s="75" cm="1">
        <f t="array" ref="AB58">SUMPRODUCT((T$3:T$8=AA58)*(U$3:U$8&gt;W$3:W$8)) + SUMPRODUCT((X$3:X$8=AA58)*(W$3:W$8&gt;U$3:U$8))</f>
        <v>0</v>
      </c>
      <c r="AC58" s="75" cm="1">
        <f t="array" ref="AC58">SUMPRODUCT(((T$3:T$8=AA58)+(X$3:X$8=AA58))*(U$3:U$8=W$3:W$8)*(U$3:U$8&lt;&gt;""))</f>
        <v>0</v>
      </c>
      <c r="AD58" s="75" cm="1">
        <f t="array" ref="AD58">SUMPRODUCT((T$3:T$8=AA58)*(U$3:U$8&lt;W$3:W$8)*(U$3:U$8&lt;&gt;"")) + SUMPRODUCT((X$3:X$8=AA58)*(W$3:W$8&lt;U$3:U$8)*(W$3:W$8&lt;&gt;""))</f>
        <v>0</v>
      </c>
      <c r="AE58" s="75">
        <f>SUMIF(T$3:T$8, AA58, U$3:U$8) + SUMIF(X$3:X$8, AA58, W$3:W$8)</f>
        <v>0</v>
      </c>
      <c r="AF58" s="75">
        <f>SUMIF(T$3:T$8, AA58, W$3:W$8) + SUMIF(X$3:X$8, AA58, U$3:U$8)</f>
        <v>0</v>
      </c>
      <c r="AG58" s="75">
        <f>AE58 - AF58</f>
        <v>0</v>
      </c>
      <c r="AH58" s="75">
        <f>(AB58 * 3) + AC58</f>
        <v>0</v>
      </c>
      <c r="AI58" s="75"/>
      <c r="AJ58" s="75"/>
    </row>
    <row r="59" spans="1:36" ht="12" customHeight="1" x14ac:dyDescent="0.25">
      <c r="B59" s="75"/>
      <c r="C59" s="75" t="s">
        <v>34</v>
      </c>
      <c r="D59" s="75" cm="1">
        <f t="array" ref="D59">SUMPRODUCT((M$3:M$8=C59)*(N$3:N$8&gt;P$3:P$8)) + SUMPRODUCT((Q$3:Q$8=C59)*(P$3:P$8&gt;N$3:N$8))</f>
        <v>0</v>
      </c>
      <c r="E59" s="75" cm="1">
        <f t="array" ref="E59">SUMPRODUCT(((M$3:M$8=C59)+(Q$3:Q$8=C59))*(N$3:N$8=P$3:P$8)*(N$3:N$8&lt;&gt;""))</f>
        <v>0</v>
      </c>
      <c r="F59" s="75" cm="1">
        <f t="array" ref="F59">SUMPRODUCT((M$3:M$8=C59)*(N$3:N$8&lt;P$3:P$8)*(N$3:N$8&lt;&gt;"")) + SUMPRODUCT((Q$3:Q$8=C59)*(P$3:P$8&lt;N$3:N$8)*(P$3:P$8&lt;&gt;""))</f>
        <v>0</v>
      </c>
      <c r="G59" s="75">
        <f t="shared" ref="G59:G61" si="0">SUMIF(M$3:M$8, C59, N$3:N$8) + SUMIF(Q$3:Q$8, C59, P$3:P$8)</f>
        <v>0</v>
      </c>
      <c r="H59" s="75">
        <f t="shared" ref="H59:H61" si="1">SUMIF(M$3:M$8, C59, P$3:P$8) + SUMIF(Q$3:Q$8, C59, N$3:N$8)</f>
        <v>0</v>
      </c>
      <c r="I59" s="75">
        <f t="shared" ref="I59:I61" si="2">G59 - H59</f>
        <v>0</v>
      </c>
      <c r="J59" s="75">
        <f t="shared" ref="J59:J61" si="3">(D59 * 3) + E59</f>
        <v>0</v>
      </c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 t="s">
        <v>190</v>
      </c>
      <c r="AB59" s="75" cm="1">
        <f t="array" ref="AB59">SUMPRODUCT((T$3:T$8=AA59)*(U$3:U$8&gt;W$3:W$8)) + SUMPRODUCT((X$3:X$8=AA59)*(W$3:W$8&gt;U$3:U$8))</f>
        <v>0</v>
      </c>
      <c r="AC59" s="75" cm="1">
        <f t="array" ref="AC59">SUMPRODUCT(((T$3:T$8=AA59)+(X$3:X$8=AA59))*(U$3:U$8=W$3:W$8)*(U$3:U$8&lt;&gt;""))</f>
        <v>0</v>
      </c>
      <c r="AD59" s="75" cm="1">
        <f t="array" ref="AD59">SUMPRODUCT((T$3:T$8=AA59)*(U$3:U$8&lt;W$3:W$8)*(U$3:U$8&lt;&gt;"")) + SUMPRODUCT((X$3:X$8=AA59)*(W$3:W$8&lt;U$3:U$8)*(W$3:W$8&lt;&gt;""))</f>
        <v>0</v>
      </c>
      <c r="AE59" s="75">
        <f t="shared" ref="AE59:AE61" si="4">SUMIF(T$3:T$8, AA59, U$3:U$8) + SUMIF(X$3:X$8, AA59, W$3:W$8)</f>
        <v>0</v>
      </c>
      <c r="AF59" s="75">
        <f t="shared" ref="AF59:AF61" si="5">SUMIF(T$3:T$8, AA59, W$3:W$8) + SUMIF(X$3:X$8, AA59, U$3:U$8)</f>
        <v>0</v>
      </c>
      <c r="AG59" s="75">
        <f t="shared" ref="AG59:AG61" si="6">AE59 - AF59</f>
        <v>0</v>
      </c>
      <c r="AH59" s="75">
        <f t="shared" ref="AH59:AH61" si="7">(AB59 * 3) + AC59</f>
        <v>0</v>
      </c>
      <c r="AI59" s="75"/>
      <c r="AJ59" s="75"/>
    </row>
    <row r="60" spans="1:36" ht="12" customHeight="1" x14ac:dyDescent="0.25">
      <c r="B60" s="75"/>
      <c r="C60" s="75" t="s">
        <v>41</v>
      </c>
      <c r="D60" s="75" cm="1">
        <f t="array" ref="D60">SUMPRODUCT((M$3:M$8=C60)*(N$3:N$8&gt;P$3:P$8)) + SUMPRODUCT((Q$3:Q$8=C60)*(P$3:P$8&gt;N$3:N$8))</f>
        <v>0</v>
      </c>
      <c r="E60" s="75" cm="1">
        <f t="array" ref="E60">SUMPRODUCT(((M$3:M$8=C60)+(Q$3:Q$8=C60))*(N$3:N$8=P$3:P$8)*(N$3:N$8&lt;&gt;""))</f>
        <v>0</v>
      </c>
      <c r="F60" s="75" cm="1">
        <f t="array" ref="F60">SUMPRODUCT((M$3:M$8=C60)*(N$3:N$8&lt;P$3:P$8)*(N$3:N$8&lt;&gt;"")) + SUMPRODUCT((Q$3:Q$8=C60)*(P$3:P$8&lt;N$3:N$8)*(P$3:P$8&lt;&gt;""))</f>
        <v>0</v>
      </c>
      <c r="G60" s="75">
        <f t="shared" si="0"/>
        <v>0</v>
      </c>
      <c r="H60" s="75">
        <f t="shared" si="1"/>
        <v>0</v>
      </c>
      <c r="I60" s="75">
        <f t="shared" si="2"/>
        <v>0</v>
      </c>
      <c r="J60" s="75">
        <f t="shared" si="3"/>
        <v>0</v>
      </c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 t="s">
        <v>62</v>
      </c>
      <c r="AB60" s="75" cm="1">
        <f t="array" ref="AB60">SUMPRODUCT((T$3:T$8=AA60)*(U$3:U$8&gt;W$3:W$8)) + SUMPRODUCT((X$3:X$8=AA60)*(W$3:W$8&gt;U$3:U$8))</f>
        <v>0</v>
      </c>
      <c r="AC60" s="75" cm="1">
        <f t="array" ref="AC60">SUMPRODUCT(((T$3:T$8=AA60)+(X$3:X$8=AA60))*(U$3:U$8=W$3:W$8)*(U$3:U$8&lt;&gt;""))</f>
        <v>0</v>
      </c>
      <c r="AD60" s="75" cm="1">
        <f t="array" ref="AD60">SUMPRODUCT((T$3:T$8=AA60)*(U$3:U$8&lt;W$3:W$8)*(U$3:U$8&lt;&gt;"")) + SUMPRODUCT((X$3:X$8=AA60)*(W$3:W$8&lt;U$3:U$8)*(W$3:W$8&lt;&gt;""))</f>
        <v>0</v>
      </c>
      <c r="AE60" s="75">
        <f t="shared" si="4"/>
        <v>0</v>
      </c>
      <c r="AF60" s="75">
        <f t="shared" si="5"/>
        <v>0</v>
      </c>
      <c r="AG60" s="75">
        <f t="shared" si="6"/>
        <v>0</v>
      </c>
      <c r="AH60" s="75">
        <f t="shared" si="7"/>
        <v>0</v>
      </c>
      <c r="AI60" s="75"/>
      <c r="AJ60" s="75"/>
    </row>
    <row r="61" spans="1:36" ht="12" customHeight="1" x14ac:dyDescent="0.25">
      <c r="B61" s="75"/>
      <c r="C61" s="75" t="s">
        <v>189</v>
      </c>
      <c r="D61" s="75" cm="1">
        <f t="array" ref="D61">SUMPRODUCT((M$3:M$8=C61)*(N$3:N$8&gt;P$3:P$8)) + SUMPRODUCT((Q$3:Q$8=C61)*(P$3:P$8&gt;N$3:N$8))</f>
        <v>0</v>
      </c>
      <c r="E61" s="75" cm="1">
        <f t="array" ref="E61">SUMPRODUCT(((M$3:M$8=C61)+(Q$3:Q$8=C61))*(N$3:N$8=P$3:P$8)*(N$3:N$8&lt;&gt;""))</f>
        <v>0</v>
      </c>
      <c r="F61" s="75" cm="1">
        <f t="array" ref="F61">SUMPRODUCT((M$3:M$8=C61)*(N$3:N$8&lt;P$3:P$8)*(N$3:N$8&lt;&gt;"")) + SUMPRODUCT((Q$3:Q$8=C61)*(P$3:P$8&lt;N$3:N$8)*(P$3:P$8&lt;&gt;""))</f>
        <v>0</v>
      </c>
      <c r="G61" s="75">
        <f t="shared" si="0"/>
        <v>0</v>
      </c>
      <c r="H61" s="75">
        <f t="shared" si="1"/>
        <v>0</v>
      </c>
      <c r="I61" s="75">
        <f t="shared" si="2"/>
        <v>0</v>
      </c>
      <c r="J61" s="75">
        <f t="shared" si="3"/>
        <v>0</v>
      </c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 t="s">
        <v>63</v>
      </c>
      <c r="AB61" s="75" cm="1">
        <f t="array" ref="AB61">SUMPRODUCT((T$3:T$8=AA61)*(U$3:U$8&gt;W$3:W$8)) + SUMPRODUCT((X$3:X$8=AA61)*(W$3:W$8&gt;U$3:U$8))</f>
        <v>0</v>
      </c>
      <c r="AC61" s="75" cm="1">
        <f t="array" ref="AC61">SUMPRODUCT(((T$3:T$8=AA61)+(X$3:X$8=AA61))*(U$3:U$8=W$3:W$8)*(U$3:U$8&lt;&gt;""))</f>
        <v>0</v>
      </c>
      <c r="AD61" s="75" cm="1">
        <f t="array" ref="AD61">SUMPRODUCT((T$3:T$8=AA61)*(U$3:U$8&lt;W$3:W$8)*(U$3:U$8&lt;&gt;"")) + SUMPRODUCT((X$3:X$8=AA61)*(W$3:W$8&lt;U$3:U$8)*(W$3:W$8&lt;&gt;""))</f>
        <v>0</v>
      </c>
      <c r="AE61" s="75">
        <f t="shared" si="4"/>
        <v>0</v>
      </c>
      <c r="AF61" s="75">
        <f t="shared" si="5"/>
        <v>0</v>
      </c>
      <c r="AG61" s="75">
        <f t="shared" si="6"/>
        <v>0</v>
      </c>
      <c r="AH61" s="75">
        <f t="shared" si="7"/>
        <v>0</v>
      </c>
      <c r="AI61" s="75"/>
      <c r="AJ61" s="75"/>
    </row>
    <row r="62" spans="1:36" ht="12" customHeight="1" x14ac:dyDescent="0.25"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</row>
    <row r="63" spans="1:36" ht="12" customHeight="1" x14ac:dyDescent="0.25">
      <c r="B63" s="75"/>
      <c r="C63" s="82" t="s">
        <v>36</v>
      </c>
      <c r="D63" s="82"/>
      <c r="E63" s="82"/>
      <c r="F63" s="82"/>
      <c r="G63" s="82"/>
      <c r="H63" s="82"/>
      <c r="I63" s="82"/>
      <c r="J63" s="82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82" t="s">
        <v>65</v>
      </c>
      <c r="AB63" s="82"/>
      <c r="AC63" s="82"/>
      <c r="AD63" s="82"/>
      <c r="AE63" s="82"/>
      <c r="AF63" s="82"/>
      <c r="AG63" s="82"/>
      <c r="AH63" s="82"/>
      <c r="AI63" s="75"/>
      <c r="AJ63" s="75"/>
    </row>
    <row r="64" spans="1:36" ht="12" customHeight="1" x14ac:dyDescent="0.25">
      <c r="B64" s="75"/>
      <c r="C64" s="75" t="s">
        <v>4</v>
      </c>
      <c r="D64" s="75" t="s">
        <v>5</v>
      </c>
      <c r="E64" s="75" t="s">
        <v>6</v>
      </c>
      <c r="F64" s="75" t="s">
        <v>7</v>
      </c>
      <c r="G64" s="75" t="s">
        <v>8</v>
      </c>
      <c r="H64" s="75" t="s">
        <v>9</v>
      </c>
      <c r="I64" s="75" t="s">
        <v>10</v>
      </c>
      <c r="J64" s="75" t="s">
        <v>11</v>
      </c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 t="s">
        <v>4</v>
      </c>
      <c r="AB64" s="75" t="s">
        <v>5</v>
      </c>
      <c r="AC64" s="75" t="s">
        <v>6</v>
      </c>
      <c r="AD64" s="75" t="s">
        <v>7</v>
      </c>
      <c r="AE64" s="75" t="s">
        <v>8</v>
      </c>
      <c r="AF64" s="75" t="s">
        <v>9</v>
      </c>
      <c r="AG64" s="75" t="s">
        <v>10</v>
      </c>
      <c r="AH64" s="75" t="s">
        <v>11</v>
      </c>
      <c r="AI64" s="75"/>
      <c r="AJ64" s="75"/>
    </row>
    <row r="65" spans="2:36" ht="12" customHeight="1" x14ac:dyDescent="0.25">
      <c r="B65" s="75"/>
      <c r="C65" s="75" t="s">
        <v>37</v>
      </c>
      <c r="D65" s="75" cm="1">
        <f t="array" ref="D65">SUMPRODUCT((M$12:M$17=C65)*(N$12:N$17&gt;P$12:P$17)) + SUMPRODUCT((Q$12:Q$17=C65)*(P$12:P$17&gt;N$12:N$17))</f>
        <v>0</v>
      </c>
      <c r="E65" s="75" cm="1">
        <f t="array" ref="E65">SUMPRODUCT(((M$12:M$17=C65)+(Q$12:Q$17=C65))*(N$12:N$17=P$12:P$17)*(N$12:N$17&lt;&gt;""))</f>
        <v>0</v>
      </c>
      <c r="F65" s="75" cm="1">
        <f t="array" ref="F65">SUMPRODUCT((M$12:M$17=C65)*(N$12:N$17&lt;P$12:P$17)*(N$12:N$17&lt;&gt;"")) + SUMPRODUCT((Q$12:Q$17=C65)*(P$12:P$17&lt;N$12:N$17)*(P$12:P$17&lt;&gt;""))</f>
        <v>0</v>
      </c>
      <c r="G65" s="75">
        <f>SUMIF(M$12:M$17, C65, N$12:N$17) + SUMIF(Q$12:Q$17, C65, P$12:P$17)</f>
        <v>0</v>
      </c>
      <c r="H65" s="75">
        <f>SUMIF(M$12:M$17, C65, P$12:P$17) + SUMIF(Q$12:Q$17, C65, N$12:N$17)</f>
        <v>0</v>
      </c>
      <c r="I65" s="75">
        <f>G65 - H65</f>
        <v>0</v>
      </c>
      <c r="J65" s="75">
        <f>(D65 * 3) + E65</f>
        <v>0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 t="s">
        <v>66</v>
      </c>
      <c r="AB65" s="75" cm="1">
        <f t="array" ref="AB65">SUMPRODUCT((T$12:T$17=AA65)*(U$12:U$17&gt;W$12:W$17)) + SUMPRODUCT((X$12:X$17=AA65)*(W$12:W$17&gt;U$12:U$17))</f>
        <v>0</v>
      </c>
      <c r="AC65" s="75" cm="1">
        <f t="array" ref="AC65">SUMPRODUCT(((T$12:T$17=AA65)+(X$12:X$17=AA65))*(U$12:U$17=W$12:W$17)*(U$12:U$17&lt;&gt;""))</f>
        <v>0</v>
      </c>
      <c r="AD65" s="75" cm="1">
        <f t="array" ref="AD65">SUMPRODUCT((T$12:T$17=AA65)*(U$12:U$17&lt;W$12:W$17)*(U$12:U$17&lt;&gt;"")) + SUMPRODUCT((X$12:X$17=AA65)*(W$12:W$17&lt;U$12:U$17)*(W$12:W$17&lt;&gt;""))</f>
        <v>0</v>
      </c>
      <c r="AE65" s="75">
        <f>SUMIF(T$12:T$17, AA65, U$12:U$17) + SUMIF(X$12:X$17, AA65, W$12:W$17)</f>
        <v>0</v>
      </c>
      <c r="AF65" s="75">
        <f>SUMIF(T$12:T$17, AA65, W$12:W$17) + SUMIF(X$12:X$17, AA65, U$12:U$17)</f>
        <v>0</v>
      </c>
      <c r="AG65" s="75">
        <f>AE65 - AF65</f>
        <v>0</v>
      </c>
      <c r="AH65" s="75">
        <f>(AB65 * 3) + AC65</f>
        <v>0</v>
      </c>
      <c r="AI65" s="75"/>
      <c r="AJ65" s="75"/>
    </row>
    <row r="66" spans="2:36" ht="12" customHeight="1" x14ac:dyDescent="0.25">
      <c r="B66" s="75"/>
      <c r="C66" s="75" t="s">
        <v>38</v>
      </c>
      <c r="D66" s="75" cm="1">
        <f t="array" ref="D66">SUMPRODUCT((M$12:M$17=C66)*(N$12:N$17&gt;P$12:P$17)) + SUMPRODUCT((Q$12:Q$17=C66)*(P$12:P$17&gt;N$12:N$17))</f>
        <v>0</v>
      </c>
      <c r="E66" s="75" cm="1">
        <f t="array" ref="E66">SUMPRODUCT(((M$12:M$17=C66)+(Q$12:Q$17=C66))*(N$12:N$17=P$12:P$17)*(N$12:N$17&lt;&gt;""))</f>
        <v>0</v>
      </c>
      <c r="F66" s="75" cm="1">
        <f t="array" ref="F66">SUMPRODUCT((M$12:M$17=C66)*(N$12:N$17&lt;P$12:P$17)*(N$12:N$17&lt;&gt;"")) + SUMPRODUCT((Q$12:Q$17=C66)*(P$12:P$17&lt;N$12:N$17)*(P$12:P$17&lt;&gt;""))</f>
        <v>0</v>
      </c>
      <c r="G66" s="75">
        <f t="shared" ref="G66:G68" si="8">SUMIF(M$12:M$17, C66, N$12:N$17) + SUMIF(Q$12:Q$17, C66, P$12:P$17)</f>
        <v>0</v>
      </c>
      <c r="H66" s="75">
        <f t="shared" ref="H66:H68" si="9">SUMIF(M$12:M$17, C66, P$12:P$17) + SUMIF(Q$12:Q$17, C66, N$12:N$17)</f>
        <v>0</v>
      </c>
      <c r="I66" s="75">
        <f t="shared" ref="I66:I68" si="10">G66 - H66</f>
        <v>0</v>
      </c>
      <c r="J66" s="75">
        <f t="shared" ref="J66:J68" si="11">(D66 * 3) + E66</f>
        <v>0</v>
      </c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 t="s">
        <v>67</v>
      </c>
      <c r="AB66" s="75" cm="1">
        <f t="array" ref="AB66">SUMPRODUCT((T$12:T$17=AA66)*(U$12:U$17&gt;W$12:W$17)) + SUMPRODUCT((X$12:X$17=AA66)*(W$12:W$17&gt;U$12:U$17))</f>
        <v>0</v>
      </c>
      <c r="AC66" s="75" cm="1">
        <f t="array" ref="AC66">SUMPRODUCT(((T$12:T$17=AA66)+(X$12:X$17=AA66))*(U$12:U$17=W$12:W$17)*(U$12:U$17&lt;&gt;""))</f>
        <v>0</v>
      </c>
      <c r="AD66" s="75" cm="1">
        <f t="array" ref="AD66">SUMPRODUCT((T$12:T$17=AA66)*(U$12:U$17&lt;W$12:W$17)*(U$12:U$17&lt;&gt;"")) + SUMPRODUCT((X$12:X$17=AA66)*(W$12:W$17&lt;U$12:U$17)*(W$12:W$17&lt;&gt;""))</f>
        <v>0</v>
      </c>
      <c r="AE66" s="75">
        <f t="shared" ref="AE66:AE68" si="12">SUMIF(T$12:T$17, AA66, U$12:U$17) + SUMIF(X$12:X$17, AA66, W$12:W$17)</f>
        <v>0</v>
      </c>
      <c r="AF66" s="75">
        <f t="shared" ref="AF66:AF68" si="13">SUMIF(T$12:T$17, AA66, W$12:W$17) + SUMIF(X$12:X$17, AA66, U$12:U$17)</f>
        <v>0</v>
      </c>
      <c r="AG66" s="75">
        <f t="shared" ref="AG66:AG68" si="14">AE66 - AF66</f>
        <v>0</v>
      </c>
      <c r="AH66" s="75">
        <f t="shared" ref="AH66:AH68" si="15">(AB66 * 3) + AC66</f>
        <v>0</v>
      </c>
      <c r="AI66" s="75"/>
      <c r="AJ66" s="75"/>
    </row>
    <row r="67" spans="2:36" ht="12" customHeight="1" x14ac:dyDescent="0.25">
      <c r="B67" s="75"/>
      <c r="C67" s="75" t="s">
        <v>39</v>
      </c>
      <c r="D67" s="75" cm="1">
        <f t="array" ref="D67">SUMPRODUCT((M$12:M$17=C67)*(N$12:N$17&gt;P$12:P$17)) + SUMPRODUCT((Q$12:Q$17=C67)*(P$12:P$17&gt;N$12:N$17))</f>
        <v>0</v>
      </c>
      <c r="E67" s="75" cm="1">
        <f t="array" ref="E67">SUMPRODUCT(((M$12:M$17=C67)+(Q$12:Q$17=C67))*(N$12:N$17=P$12:P$17)*(N$12:N$17&lt;&gt;""))</f>
        <v>0</v>
      </c>
      <c r="F67" s="75" cm="1">
        <f t="array" ref="F67">SUMPRODUCT((M$12:M$17=C67)*(N$12:N$17&lt;P$12:P$17)*(N$12:N$17&lt;&gt;"")) + SUMPRODUCT((Q$12:Q$17=C67)*(P$12:P$17&lt;N$12:N$17)*(P$12:P$17&lt;&gt;""))</f>
        <v>0</v>
      </c>
      <c r="G67" s="75">
        <f t="shared" si="8"/>
        <v>0</v>
      </c>
      <c r="H67" s="75">
        <f t="shared" si="9"/>
        <v>0</v>
      </c>
      <c r="I67" s="75">
        <f t="shared" si="10"/>
        <v>0</v>
      </c>
      <c r="J67" s="75">
        <f t="shared" si="11"/>
        <v>0</v>
      </c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 t="s">
        <v>68</v>
      </c>
      <c r="AB67" s="75" cm="1">
        <f t="array" ref="AB67">SUMPRODUCT((T$12:T$17=AA67)*(U$12:U$17&gt;W$12:W$17)) + SUMPRODUCT((X$12:X$17=AA67)*(W$12:W$17&gt;U$12:U$17))</f>
        <v>0</v>
      </c>
      <c r="AC67" s="75" cm="1">
        <f t="array" ref="AC67">SUMPRODUCT(((T$12:T$17=AA67)+(X$12:X$17=AA67))*(U$12:U$17=W$12:W$17)*(U$12:U$17&lt;&gt;""))</f>
        <v>0</v>
      </c>
      <c r="AD67" s="75" cm="1">
        <f t="array" ref="AD67">SUMPRODUCT((T$12:T$17=AA67)*(U$12:U$17&lt;W$12:W$17)*(U$12:U$17&lt;&gt;"")) + SUMPRODUCT((X$12:X$17=AA67)*(W$12:W$17&lt;U$12:U$17)*(W$12:W$17&lt;&gt;""))</f>
        <v>0</v>
      </c>
      <c r="AE67" s="75">
        <f t="shared" si="12"/>
        <v>0</v>
      </c>
      <c r="AF67" s="75">
        <f t="shared" si="13"/>
        <v>0</v>
      </c>
      <c r="AG67" s="75">
        <f t="shared" si="14"/>
        <v>0</v>
      </c>
      <c r="AH67" s="75">
        <f t="shared" si="15"/>
        <v>0</v>
      </c>
      <c r="AI67" s="75"/>
      <c r="AJ67" s="75"/>
    </row>
    <row r="68" spans="2:36" ht="12" customHeight="1" x14ac:dyDescent="0.25">
      <c r="B68" s="75"/>
      <c r="C68" s="75" t="s">
        <v>40</v>
      </c>
      <c r="D68" s="75" cm="1">
        <f t="array" ref="D68">SUMPRODUCT((M$12:M$17=C68)*(N$12:N$17&gt;P$12:P$17)) + SUMPRODUCT((Q$12:Q$17=C68)*(P$12:P$17&gt;N$12:N$17))</f>
        <v>0</v>
      </c>
      <c r="E68" s="75" cm="1">
        <f t="array" ref="E68">SUMPRODUCT(((M$12:M$17=C68)+(Q$12:Q$17=C68))*(N$12:N$17=P$12:P$17)*(N$12:N$17&lt;&gt;""))</f>
        <v>0</v>
      </c>
      <c r="F68" s="75" cm="1">
        <f t="array" ref="F68">SUMPRODUCT((M$12:M$17=C68)*(N$12:N$17&lt;P$12:P$17)*(N$12:N$17&lt;&gt;"")) + SUMPRODUCT((Q$12:Q$17=C68)*(P$12:P$17&lt;N$12:N$17)*(P$12:P$17&lt;&gt;""))</f>
        <v>0</v>
      </c>
      <c r="G68" s="75">
        <f t="shared" si="8"/>
        <v>0</v>
      </c>
      <c r="H68" s="75">
        <f t="shared" si="9"/>
        <v>0</v>
      </c>
      <c r="I68" s="75">
        <f t="shared" si="10"/>
        <v>0</v>
      </c>
      <c r="J68" s="75">
        <f t="shared" si="11"/>
        <v>0</v>
      </c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 t="s">
        <v>69</v>
      </c>
      <c r="AB68" s="75" cm="1">
        <f t="array" ref="AB68">SUMPRODUCT((T$12:T$17=AA68)*(U$12:U$17&gt;W$12:W$17)) + SUMPRODUCT((X$12:X$17=AA68)*(W$12:W$17&gt;U$12:U$17))</f>
        <v>0</v>
      </c>
      <c r="AC68" s="75" cm="1">
        <f t="array" ref="AC68">SUMPRODUCT(((T$12:T$17=AA68)+(X$12:X$17=AA68))*(U$12:U$17=W$12:W$17)*(U$12:U$17&lt;&gt;""))</f>
        <v>0</v>
      </c>
      <c r="AD68" s="75" cm="1">
        <f t="array" ref="AD68">SUMPRODUCT((T$12:T$17=AA68)*(U$12:U$17&lt;W$12:W$17)*(U$12:U$17&lt;&gt;"")) + SUMPRODUCT((X$12:X$17=AA68)*(W$12:W$17&lt;U$12:U$17)*(W$12:W$17&lt;&gt;""))</f>
        <v>0</v>
      </c>
      <c r="AE68" s="75">
        <f t="shared" si="12"/>
        <v>0</v>
      </c>
      <c r="AF68" s="75">
        <f t="shared" si="13"/>
        <v>0</v>
      </c>
      <c r="AG68" s="75">
        <f t="shared" si="14"/>
        <v>0</v>
      </c>
      <c r="AH68" s="75">
        <f t="shared" si="15"/>
        <v>0</v>
      </c>
      <c r="AI68" s="75"/>
      <c r="AJ68" s="75"/>
    </row>
    <row r="69" spans="2:36" ht="12" customHeight="1" x14ac:dyDescent="0.25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</row>
    <row r="70" spans="2:36" ht="12" customHeight="1" x14ac:dyDescent="0.25">
      <c r="B70" s="75"/>
      <c r="C70" s="82" t="s">
        <v>42</v>
      </c>
      <c r="D70" s="82"/>
      <c r="E70" s="82"/>
      <c r="F70" s="82"/>
      <c r="G70" s="82"/>
      <c r="H70" s="82"/>
      <c r="I70" s="82"/>
      <c r="J70" s="82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82" t="s">
        <v>70</v>
      </c>
      <c r="AB70" s="82"/>
      <c r="AC70" s="82"/>
      <c r="AD70" s="82"/>
      <c r="AE70" s="82"/>
      <c r="AF70" s="82"/>
      <c r="AG70" s="82"/>
      <c r="AH70" s="82"/>
      <c r="AI70" s="75"/>
      <c r="AJ70" s="75"/>
    </row>
    <row r="71" spans="2:36" ht="12" customHeight="1" x14ac:dyDescent="0.25">
      <c r="B71" s="75"/>
      <c r="C71" s="75" t="s">
        <v>4</v>
      </c>
      <c r="D71" s="75" t="s">
        <v>5</v>
      </c>
      <c r="E71" s="75" t="s">
        <v>6</v>
      </c>
      <c r="F71" s="75" t="s">
        <v>7</v>
      </c>
      <c r="G71" s="75" t="s">
        <v>8</v>
      </c>
      <c r="H71" s="75" t="s">
        <v>9</v>
      </c>
      <c r="I71" s="75" t="s">
        <v>10</v>
      </c>
      <c r="J71" s="75" t="s">
        <v>11</v>
      </c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 t="s">
        <v>4</v>
      </c>
      <c r="AB71" s="75" t="s">
        <v>5</v>
      </c>
      <c r="AC71" s="75" t="s">
        <v>6</v>
      </c>
      <c r="AD71" s="75" t="s">
        <v>7</v>
      </c>
      <c r="AE71" s="75" t="s">
        <v>8</v>
      </c>
      <c r="AF71" s="75" t="s">
        <v>9</v>
      </c>
      <c r="AG71" s="75" t="s">
        <v>10</v>
      </c>
      <c r="AH71" s="75" t="s">
        <v>11</v>
      </c>
      <c r="AI71" s="75"/>
      <c r="AJ71" s="75"/>
    </row>
    <row r="72" spans="2:36" ht="12" customHeight="1" x14ac:dyDescent="0.25">
      <c r="B72" s="75"/>
      <c r="C72" s="75" t="s">
        <v>43</v>
      </c>
      <c r="D72" s="75" cm="1">
        <f t="array" ref="D72">SUMPRODUCT((M$21:M$26=C72)*(N$21:N$26&gt;P$21:P$26)) + SUMPRODUCT((Q$21:Q$26=C72)*(P$21:P$26&gt;N$21:N$26))</f>
        <v>0</v>
      </c>
      <c r="E72" s="75" cm="1">
        <f t="array" ref="E72">SUMPRODUCT(((M$21:M$26=C72)+(Q$21:Q$26=C72))*(N$21:N$26=P$21:P$26)*(N$21:N$26&lt;&gt;""))</f>
        <v>0</v>
      </c>
      <c r="F72" s="75" cm="1">
        <f t="array" ref="F72">SUMPRODUCT((M$21:M$26=C72)*(N$21:N$26&lt;P$21:P$26)*(N$21:N$26&lt;&gt;"")) + SUMPRODUCT((Q$21:Q$26=C72)*(P$21:P$26&lt;N$21:N$26)*(P$21:P$26&lt;&gt;""))</f>
        <v>0</v>
      </c>
      <c r="G72" s="75">
        <f>SUMIF(M$21:M$26, C72, N$21:N$26) + SUMIF(Q$21:Q$26, C72, P$21:P$26)</f>
        <v>0</v>
      </c>
      <c r="H72" s="75">
        <f>SUMIF(M$21:M$26, C72, P$21:P$26) + SUMIF(Q$21:Q$26, C72, N$21:N$26)</f>
        <v>0</v>
      </c>
      <c r="I72" s="75">
        <f>G72 - H72</f>
        <v>0</v>
      </c>
      <c r="J72" s="75">
        <f>(D72 * 3) + E72</f>
        <v>0</v>
      </c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 t="s">
        <v>71</v>
      </c>
      <c r="AB72" s="75" cm="1">
        <f t="array" ref="AB72">SUMPRODUCT((T$21:T$26=AA72)*(U$21:U$26&gt;W$21:W$26)) + SUMPRODUCT((X$21:X$26=AA72)*(W$21:W$26&gt;U$21:U$26))</f>
        <v>0</v>
      </c>
      <c r="AC72" s="75" cm="1">
        <f t="array" ref="AC72">SUMPRODUCT(((T$21:T$26=AA72)+(X$21:X$26=AA72))*(U$21:U$26=W$21:W$26)*(U$21:U$26&lt;&gt;""))</f>
        <v>0</v>
      </c>
      <c r="AD72" s="75" cm="1">
        <f t="array" ref="AD72">SUMPRODUCT((T$21:T$26=AA72)*(U$21:U$26&lt;W$21:W$26)*(U$21:U$26&lt;&gt;"")) + SUMPRODUCT((X$21:X$26=AA72)*(W$21:W$26&lt;U$21:U$26)*(W$21:W$26&lt;&gt;""))</f>
        <v>0</v>
      </c>
      <c r="AE72" s="75">
        <f>SUMIF(T$21:T$26, AA72, U$21:U$26) + SUMIF(X$21:X$26, AA72, W$21:W$26)</f>
        <v>0</v>
      </c>
      <c r="AF72" s="75">
        <f>SUMIF(T$21:T$26, AA72, W$21:W$26) + SUMIF(X$21:X$26, AA72, U$21:U$26)</f>
        <v>0</v>
      </c>
      <c r="AG72" s="75">
        <f>AE72 - AF72</f>
        <v>0</v>
      </c>
      <c r="AH72" s="75">
        <f>(AB72 * 3) + AC72</f>
        <v>0</v>
      </c>
      <c r="AI72" s="75"/>
      <c r="AJ72" s="75"/>
    </row>
    <row r="73" spans="2:36" ht="12" customHeight="1" x14ac:dyDescent="0.25">
      <c r="B73" s="75"/>
      <c r="C73" s="75" t="s">
        <v>44</v>
      </c>
      <c r="D73" s="75" cm="1">
        <f t="array" ref="D73">SUMPRODUCT((M$21:M$26=C73)*(N$21:N$26&gt;P$21:P$26)) + SUMPRODUCT((Q$21:Q$26=C73)*(P$21:P$26&gt;N$21:N$26))</f>
        <v>0</v>
      </c>
      <c r="E73" s="75" cm="1">
        <f t="array" ref="E73">SUMPRODUCT(((M$21:M$26=C73)+(Q$21:Q$26=C73))*(N$21:N$26=P$21:P$26)*(N$21:N$26&lt;&gt;""))</f>
        <v>0</v>
      </c>
      <c r="F73" s="75" cm="1">
        <f t="array" ref="F73">SUMPRODUCT((M$21:M$26=C73)*(N$21:N$26&lt;P$21:P$26)*(N$21:N$26&lt;&gt;"")) + SUMPRODUCT((Q$21:Q$26=C73)*(P$21:P$26&lt;N$21:N$26)*(P$21:P$26&lt;&gt;""))</f>
        <v>0</v>
      </c>
      <c r="G73" s="75">
        <f t="shared" ref="G73:G75" si="16">SUMIF(M$21:M$26, C73, N$21:N$26) + SUMIF(Q$21:Q$26, C73, P$21:P$26)</f>
        <v>0</v>
      </c>
      <c r="H73" s="75">
        <f t="shared" ref="H73:H75" si="17">SUMIF(M$21:M$26, C73, P$21:P$26) + SUMIF(Q$21:Q$26, C73, N$21:N$26)</f>
        <v>0</v>
      </c>
      <c r="I73" s="75">
        <f t="shared" ref="I73:I75" si="18">G73 - H73</f>
        <v>0</v>
      </c>
      <c r="J73" s="75">
        <f t="shared" ref="J73:J75" si="19">(D73 * 3) + E73</f>
        <v>0</v>
      </c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 t="s">
        <v>72</v>
      </c>
      <c r="AB73" s="75" cm="1">
        <f t="array" ref="AB73">SUMPRODUCT((T$21:T$26=AA73)*(U$21:U$26&gt;W$21:W$26)) + SUMPRODUCT((X$21:X$26=AA73)*(W$21:W$26&gt;U$21:U$26))</f>
        <v>0</v>
      </c>
      <c r="AC73" s="75" cm="1">
        <f t="array" ref="AC73">SUMPRODUCT(((T$21:T$26=AA73)+(X$21:X$26=AA73))*(U$21:U$26=W$21:W$26)*(U$21:U$26&lt;&gt;""))</f>
        <v>0</v>
      </c>
      <c r="AD73" s="75" cm="1">
        <f t="array" ref="AD73">SUMPRODUCT((T$21:T$26=AA73)*(U$21:U$26&lt;W$21:W$26)*(U$21:U$26&lt;&gt;"")) + SUMPRODUCT((X$21:X$26=AA73)*(W$21:W$26&lt;U$21:U$26)*(W$21:W$26&lt;&gt;""))</f>
        <v>0</v>
      </c>
      <c r="AE73" s="75">
        <f t="shared" ref="AE73:AE75" si="20">SUMIF(T$21:T$26, AA73, U$21:U$26) + SUMIF(X$21:X$26, AA73, W$21:W$26)</f>
        <v>0</v>
      </c>
      <c r="AF73" s="75">
        <f t="shared" ref="AF73:AF75" si="21">SUMIF(T$21:T$26, AA73, W$21:W$26) + SUMIF(X$21:X$26, AA73, U$21:U$26)</f>
        <v>0</v>
      </c>
      <c r="AG73" s="75">
        <f t="shared" ref="AG73:AG75" si="22">AE73 - AF73</f>
        <v>0</v>
      </c>
      <c r="AH73" s="75">
        <f t="shared" ref="AH73:AH75" si="23">(AB73 * 3) + AC73</f>
        <v>0</v>
      </c>
      <c r="AI73" s="75"/>
      <c r="AJ73" s="75"/>
    </row>
    <row r="74" spans="2:36" ht="12" customHeight="1" x14ac:dyDescent="0.25">
      <c r="B74" s="75"/>
      <c r="C74" s="75" t="s">
        <v>45</v>
      </c>
      <c r="D74" s="75" cm="1">
        <f t="array" ref="D74">SUMPRODUCT((M$21:M$26=C74)*(N$21:N$26&gt;P$21:P$26)) + SUMPRODUCT((Q$21:Q$26=C74)*(P$21:P$26&gt;N$21:N$26))</f>
        <v>0</v>
      </c>
      <c r="E74" s="75" cm="1">
        <f t="array" ref="E74">SUMPRODUCT(((M$21:M$26=C74)+(Q$21:Q$26=C74))*(N$21:N$26=P$21:P$26)*(N$21:N$26&lt;&gt;""))</f>
        <v>0</v>
      </c>
      <c r="F74" s="75" cm="1">
        <f t="array" ref="F74">SUMPRODUCT((M$21:M$26=C74)*(N$21:N$26&lt;P$21:P$26)*(N$21:N$26&lt;&gt;"")) + SUMPRODUCT((Q$21:Q$26=C74)*(P$21:P$26&lt;N$21:N$26)*(P$21:P$26&lt;&gt;""))</f>
        <v>0</v>
      </c>
      <c r="G74" s="75">
        <f t="shared" si="16"/>
        <v>0</v>
      </c>
      <c r="H74" s="75">
        <f t="shared" si="17"/>
        <v>0</v>
      </c>
      <c r="I74" s="75">
        <f t="shared" si="18"/>
        <v>0</v>
      </c>
      <c r="J74" s="75">
        <f t="shared" si="19"/>
        <v>0</v>
      </c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 t="s">
        <v>191</v>
      </c>
      <c r="AB74" s="75" cm="1">
        <f t="array" ref="AB74">SUMPRODUCT((T$21:T$26=AA74)*(U$21:U$26&gt;W$21:W$26)) + SUMPRODUCT((X$21:X$26=AA74)*(W$21:W$26&gt;U$21:U$26))</f>
        <v>0</v>
      </c>
      <c r="AC74" s="75" cm="1">
        <f t="array" ref="AC74">SUMPRODUCT(((T$21:T$26=AA74)+(X$21:X$26=AA74))*(U$21:U$26=W$21:W$26)*(U$21:U$26&lt;&gt;""))</f>
        <v>0</v>
      </c>
      <c r="AD74" s="75" cm="1">
        <f t="array" ref="AD74">SUMPRODUCT((T$21:T$26=AA74)*(U$21:U$26&lt;W$21:W$26)*(U$21:U$26&lt;&gt;"")) + SUMPRODUCT((X$21:X$26=AA74)*(W$21:W$26&lt;U$21:U$26)*(W$21:W$26&lt;&gt;""))</f>
        <v>0</v>
      </c>
      <c r="AE74" s="75">
        <f t="shared" si="20"/>
        <v>0</v>
      </c>
      <c r="AF74" s="75">
        <f t="shared" si="21"/>
        <v>0</v>
      </c>
      <c r="AG74" s="75">
        <f t="shared" si="22"/>
        <v>0</v>
      </c>
      <c r="AH74" s="75">
        <f t="shared" si="23"/>
        <v>0</v>
      </c>
      <c r="AI74" s="75"/>
      <c r="AJ74" s="75"/>
    </row>
    <row r="75" spans="2:36" ht="12" customHeight="1" x14ac:dyDescent="0.25">
      <c r="B75" s="75"/>
      <c r="C75" s="75" t="s">
        <v>46</v>
      </c>
      <c r="D75" s="75" cm="1">
        <f t="array" ref="D75">SUMPRODUCT((M$21:M$26=C75)*(N$21:N$26&gt;P$21:P$26)) + SUMPRODUCT((Q$21:Q$26=C75)*(P$21:P$26&gt;N$21:N$26))</f>
        <v>0</v>
      </c>
      <c r="E75" s="75" cm="1">
        <f t="array" ref="E75">SUMPRODUCT(((M$21:M$26=C75)+(Q$21:Q$26=C75))*(N$21:N$26=P$21:P$26)*(N$21:N$26&lt;&gt;""))</f>
        <v>0</v>
      </c>
      <c r="F75" s="75" cm="1">
        <f t="array" ref="F75">SUMPRODUCT((M$21:M$26=C75)*(N$21:N$26&lt;P$21:P$26)*(N$21:N$26&lt;&gt;"")) + SUMPRODUCT((Q$21:Q$26=C75)*(P$21:P$26&lt;N$21:N$26)*(P$21:P$26&lt;&gt;""))</f>
        <v>0</v>
      </c>
      <c r="G75" s="75">
        <f t="shared" si="16"/>
        <v>0</v>
      </c>
      <c r="H75" s="75">
        <f t="shared" si="17"/>
        <v>0</v>
      </c>
      <c r="I75" s="75">
        <f t="shared" si="18"/>
        <v>0</v>
      </c>
      <c r="J75" s="75">
        <f t="shared" si="19"/>
        <v>0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 t="s">
        <v>73</v>
      </c>
      <c r="AB75" s="75" cm="1">
        <f t="array" ref="AB75">SUMPRODUCT((T$21:T$26=AA75)*(U$21:U$26&gt;W$21:W$26)) + SUMPRODUCT((X$21:X$26=AA75)*(W$21:W$26&gt;U$21:U$26))</f>
        <v>0</v>
      </c>
      <c r="AC75" s="75" cm="1">
        <f t="array" ref="AC75">SUMPRODUCT(((T$21:T$26=AA75)+(X$21:X$26=AA75))*(U$21:U$26=W$21:W$26)*(U$21:U$26&lt;&gt;""))</f>
        <v>0</v>
      </c>
      <c r="AD75" s="75" cm="1">
        <f t="array" ref="AD75">SUMPRODUCT((T$21:T$26=AA75)*(U$21:U$26&lt;W$21:W$26)*(U$21:U$26&lt;&gt;"")) + SUMPRODUCT((X$21:X$26=AA75)*(W$21:W$26&lt;U$21:U$26)*(W$21:W$26&lt;&gt;""))</f>
        <v>0</v>
      </c>
      <c r="AE75" s="75">
        <f t="shared" si="20"/>
        <v>0</v>
      </c>
      <c r="AF75" s="75">
        <f t="shared" si="21"/>
        <v>0</v>
      </c>
      <c r="AG75" s="75">
        <f t="shared" si="22"/>
        <v>0</v>
      </c>
      <c r="AH75" s="75">
        <f t="shared" si="23"/>
        <v>0</v>
      </c>
      <c r="AI75" s="75"/>
      <c r="AJ75" s="75"/>
    </row>
    <row r="76" spans="2:36" ht="12" customHeight="1" x14ac:dyDescent="0.25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</row>
    <row r="77" spans="2:36" ht="12" customHeight="1" x14ac:dyDescent="0.25">
      <c r="B77" s="75"/>
      <c r="C77" s="82" t="s">
        <v>47</v>
      </c>
      <c r="D77" s="82"/>
      <c r="E77" s="82"/>
      <c r="F77" s="82"/>
      <c r="G77" s="82"/>
      <c r="H77" s="82"/>
      <c r="I77" s="82"/>
      <c r="J77" s="82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82" t="s">
        <v>74</v>
      </c>
      <c r="AB77" s="82"/>
      <c r="AC77" s="82"/>
      <c r="AD77" s="82"/>
      <c r="AE77" s="82"/>
      <c r="AF77" s="82"/>
      <c r="AG77" s="82"/>
      <c r="AH77" s="82"/>
      <c r="AI77" s="75"/>
      <c r="AJ77" s="75"/>
    </row>
    <row r="78" spans="2:36" ht="12" customHeight="1" x14ac:dyDescent="0.25">
      <c r="B78" s="75"/>
      <c r="C78" s="75" t="s">
        <v>4</v>
      </c>
      <c r="D78" s="75" t="s">
        <v>5</v>
      </c>
      <c r="E78" s="75" t="s">
        <v>6</v>
      </c>
      <c r="F78" s="75" t="s">
        <v>7</v>
      </c>
      <c r="G78" s="75" t="s">
        <v>8</v>
      </c>
      <c r="H78" s="75" t="s">
        <v>9</v>
      </c>
      <c r="I78" s="75" t="s">
        <v>10</v>
      </c>
      <c r="J78" s="75" t="s">
        <v>11</v>
      </c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 t="s">
        <v>4</v>
      </c>
      <c r="AB78" s="75" t="s">
        <v>5</v>
      </c>
      <c r="AC78" s="75" t="s">
        <v>6</v>
      </c>
      <c r="AD78" s="75" t="s">
        <v>7</v>
      </c>
      <c r="AE78" s="75" t="s">
        <v>8</v>
      </c>
      <c r="AF78" s="75" t="s">
        <v>9</v>
      </c>
      <c r="AG78" s="75" t="s">
        <v>10</v>
      </c>
      <c r="AH78" s="75" t="s">
        <v>11</v>
      </c>
      <c r="AI78" s="75"/>
      <c r="AJ78" s="75"/>
    </row>
    <row r="79" spans="2:36" ht="12" customHeight="1" x14ac:dyDescent="0.25">
      <c r="B79" s="75"/>
      <c r="C79" s="75" t="s">
        <v>48</v>
      </c>
      <c r="D79" s="75" cm="1">
        <f t="array" ref="D79">SUMPRODUCT((M$30:M$35=C79)*(N$30:N$35&gt;P$30:P$35)) + SUMPRODUCT((Q$30:Q$35=C79)*(P$30:P$35&gt;N$30:N$35))</f>
        <v>0</v>
      </c>
      <c r="E79" s="75" cm="1">
        <f t="array" ref="E79">SUMPRODUCT(((M$30:M$35=C79)+(Q$30:Q$35=C79))*(N$30:N$35=P$30:P$35)*(N$30:N$35&lt;&gt;""))</f>
        <v>0</v>
      </c>
      <c r="F79" s="75" cm="1">
        <f t="array" ref="F79">SUMPRODUCT((M$30:M$35=C79)*(N$30:N$35&lt;P$30:P$35)*(N$30:N$35&lt;&gt;"")) + SUMPRODUCT((Q$30:Q$35=C79)*(P$30:P$35&lt;N$30:N$35)*(P$30:P$35&lt;&gt;""))</f>
        <v>0</v>
      </c>
      <c r="G79" s="75">
        <f>SUMIF(M$30:M$35, C79, N$30:N$35) + SUMIF(Q$30:Q$35, C79, P$30:P$35)</f>
        <v>0</v>
      </c>
      <c r="H79" s="75">
        <f>SUMIF(M$30:M$35, C79, P$30:P$35) + SUMIF(Q$30:Q$35, C79, N$30:N$35)</f>
        <v>0</v>
      </c>
      <c r="I79" s="75">
        <f>G79 - H79</f>
        <v>0</v>
      </c>
      <c r="J79" s="75">
        <f>(D79 * 3) + E79</f>
        <v>0</v>
      </c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 t="s">
        <v>77</v>
      </c>
      <c r="AB79" s="75" cm="1">
        <f t="array" ref="AB79">SUMPRODUCT((T$30:T$35=AA79)*(U$30:U$35&gt;W$30:W$35)) + SUMPRODUCT((X$30:X$35=AA79)*(W$30:W$35&gt;U$30:U$35))</f>
        <v>0</v>
      </c>
      <c r="AC79" s="75" cm="1">
        <f t="array" ref="AC79">SUMPRODUCT(((T$30:T$35=AA79)+(X$30:X$35=AA79))*(U$30:U$35=W$30:W$35)*(U$30:U$35&lt;&gt;""))</f>
        <v>0</v>
      </c>
      <c r="AD79" s="75" cm="1">
        <f t="array" ref="AD79">SUMPRODUCT((T$30:T$35=AA79)*(U$30:U$35&lt;W$30:W$35)*(U$30:U$35&lt;&gt;"")) + SUMPRODUCT((X$30:X$35=AA79)*(W$30:W$35&lt;U$30:U$35)*(W$30:W$35&lt;&gt;""))</f>
        <v>0</v>
      </c>
      <c r="AE79" s="75">
        <f>SUMIF(T$30:T$35, AA79, U$30:U$35) + SUMIF(X$30:X$35, AA79, W$30:W$35)</f>
        <v>0</v>
      </c>
      <c r="AF79" s="75">
        <f>SUMIF(T$30:T$35, AA79, W$30:W$35) + SUMIF(X$30:X$35, AA79, U$30:U$35)</f>
        <v>0</v>
      </c>
      <c r="AG79" s="75">
        <f>AE79 - AF79</f>
        <v>0</v>
      </c>
      <c r="AH79" s="75">
        <f>(AB79 * 3) + AC79</f>
        <v>0</v>
      </c>
      <c r="AI79" s="75"/>
      <c r="AJ79" s="75"/>
    </row>
    <row r="80" spans="2:36" ht="12" customHeight="1" x14ac:dyDescent="0.25">
      <c r="B80" s="75"/>
      <c r="C80" s="75" t="s">
        <v>49</v>
      </c>
      <c r="D80" s="75" cm="1">
        <f t="array" ref="D80">SUMPRODUCT((M$30:M$35=C80)*(N$30:N$35&gt;P$30:P$35)) + SUMPRODUCT((Q$30:Q$35=C80)*(P$30:P$35&gt;N$30:N$35))</f>
        <v>0</v>
      </c>
      <c r="E80" s="75" cm="1">
        <f t="array" ref="E80">SUMPRODUCT(((M$30:M$35=C80)+(Q$30:Q$35=C80))*(N$30:N$35=P$30:P$35)*(N$30:N$35&lt;&gt;""))</f>
        <v>0</v>
      </c>
      <c r="F80" s="75" cm="1">
        <f t="array" ref="F80">SUMPRODUCT((M$30:M$35=C80)*(N$30:N$35&lt;P$30:P$35)*(N$30:N$35&lt;&gt;"")) + SUMPRODUCT((Q$30:Q$35=C80)*(P$30:P$35&lt;N$30:N$35)*(P$30:P$35&lt;&gt;""))</f>
        <v>0</v>
      </c>
      <c r="G80" s="75">
        <f t="shared" ref="G80:G82" si="24">SUMIF(M$30:M$35, C80, N$30:N$35) + SUMIF(Q$30:Q$35, C80, P$30:P$35)</f>
        <v>0</v>
      </c>
      <c r="H80" s="75">
        <f t="shared" ref="H80:H82" si="25">SUMIF(M$30:M$35, C80, P$30:P$35) + SUMIF(Q$30:Q$35, C80, N$30:N$35)</f>
        <v>0</v>
      </c>
      <c r="I80" s="75">
        <f t="shared" ref="I80:I82" si="26">G80 - H80</f>
        <v>0</v>
      </c>
      <c r="J80" s="75">
        <f t="shared" ref="J80:J82" si="27">(D80 * 3) + E80</f>
        <v>0</v>
      </c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 t="s">
        <v>78</v>
      </c>
      <c r="AB80" s="75" cm="1">
        <f t="array" ref="AB80">SUMPRODUCT((T$30:T$35=AA80)*(U$30:U$35&gt;W$30:W$35)) + SUMPRODUCT((X$30:X$35=AA80)*(W$30:W$35&gt;U$30:U$35))</f>
        <v>0</v>
      </c>
      <c r="AC80" s="75" cm="1">
        <f t="array" ref="AC80">SUMPRODUCT(((T$30:T$35=AA80)+(X$30:X$35=AA80))*(U$30:U$35=W$30:W$35)*(U$30:U$35&lt;&gt;""))</f>
        <v>0</v>
      </c>
      <c r="AD80" s="75" cm="1">
        <f t="array" ref="AD80">SUMPRODUCT((T$30:T$35=AA80)*(U$30:U$35&lt;W$30:W$35)*(U$30:U$35&lt;&gt;"")) + SUMPRODUCT((X$30:X$35=AA80)*(W$30:W$35&lt;U$30:U$35)*(W$30:W$35&lt;&gt;""))</f>
        <v>0</v>
      </c>
      <c r="AE80" s="75">
        <f t="shared" ref="AE80:AE82" si="28">SUMIF(T$30:T$35, AA80, U$30:U$35) + SUMIF(X$30:X$35, AA80, W$30:W$35)</f>
        <v>0</v>
      </c>
      <c r="AF80" s="75">
        <f t="shared" ref="AF80:AF82" si="29">SUMIF(T$30:T$35, AA80, W$30:W$35) + SUMIF(X$30:X$35, AA80, U$30:U$35)</f>
        <v>0</v>
      </c>
      <c r="AG80" s="75">
        <f t="shared" ref="AG80:AG82" si="30">AE80 - AF80</f>
        <v>0</v>
      </c>
      <c r="AH80" s="75">
        <f t="shared" ref="AH80:AH82" si="31">(AB80 * 3) + AC80</f>
        <v>0</v>
      </c>
      <c r="AI80" s="75"/>
      <c r="AJ80" s="75"/>
    </row>
    <row r="81" spans="2:36" ht="12" customHeight="1" x14ac:dyDescent="0.25">
      <c r="B81" s="75"/>
      <c r="C81" s="75" t="s">
        <v>50</v>
      </c>
      <c r="D81" s="75" cm="1">
        <f t="array" ref="D81">SUMPRODUCT((M$30:M$35=C81)*(N$30:N$35&gt;P$30:P$35)) + SUMPRODUCT((Q$30:Q$35=C81)*(P$30:P$35&gt;N$30:N$35))</f>
        <v>0</v>
      </c>
      <c r="E81" s="75" cm="1">
        <f t="array" ref="E81">SUMPRODUCT(((M$30:M$35=C81)+(Q$30:Q$35=C81))*(N$30:N$35=P$30:P$35)*(N$30:N$35&lt;&gt;""))</f>
        <v>0</v>
      </c>
      <c r="F81" s="75" cm="1">
        <f t="array" ref="F81">SUMPRODUCT((M$30:M$35=C81)*(N$30:N$35&lt;P$30:P$35)*(N$30:N$35&lt;&gt;"")) + SUMPRODUCT((Q$30:Q$35=C81)*(P$30:P$35&lt;N$30:N$35)*(P$30:P$35&lt;&gt;""))</f>
        <v>0</v>
      </c>
      <c r="G81" s="75">
        <f t="shared" si="24"/>
        <v>0</v>
      </c>
      <c r="H81" s="75">
        <f t="shared" si="25"/>
        <v>0</v>
      </c>
      <c r="I81" s="75">
        <f t="shared" si="26"/>
        <v>0</v>
      </c>
      <c r="J81" s="75">
        <f t="shared" si="27"/>
        <v>0</v>
      </c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 t="s">
        <v>79</v>
      </c>
      <c r="AB81" s="75" cm="1">
        <f t="array" ref="AB81">SUMPRODUCT((T$30:T$35=AA81)*(U$30:U$35&gt;W$30:W$35)) + SUMPRODUCT((X$30:X$35=AA81)*(W$30:W$35&gt;U$30:U$35))</f>
        <v>0</v>
      </c>
      <c r="AC81" s="75" cm="1">
        <f t="array" ref="AC81">SUMPRODUCT(((T$30:T$35=AA81)+(X$30:X$35=AA81))*(U$30:U$35=W$30:W$35)*(U$30:U$35&lt;&gt;""))</f>
        <v>0</v>
      </c>
      <c r="AD81" s="75" cm="1">
        <f t="array" ref="AD81">SUMPRODUCT((T$30:T$35=AA81)*(U$30:U$35&lt;W$30:W$35)*(U$30:U$35&lt;&gt;"")) + SUMPRODUCT((X$30:X$35=AA81)*(W$30:W$35&lt;U$30:U$35)*(W$30:W$35&lt;&gt;""))</f>
        <v>0</v>
      </c>
      <c r="AE81" s="75">
        <f t="shared" si="28"/>
        <v>0</v>
      </c>
      <c r="AF81" s="75">
        <f t="shared" si="29"/>
        <v>0</v>
      </c>
      <c r="AG81" s="75">
        <f t="shared" si="30"/>
        <v>0</v>
      </c>
      <c r="AH81" s="75">
        <f t="shared" si="31"/>
        <v>0</v>
      </c>
      <c r="AI81" s="75"/>
      <c r="AJ81" s="75"/>
    </row>
    <row r="82" spans="2:36" ht="12" customHeight="1" x14ac:dyDescent="0.25">
      <c r="B82" s="75"/>
      <c r="C82" s="75" t="s">
        <v>51</v>
      </c>
      <c r="D82" s="75" cm="1">
        <f t="array" ref="D82">SUMPRODUCT((M$30:M$35=C82)*(N$30:N$35&gt;P$30:P$35)) + SUMPRODUCT((Q$30:Q$35=C82)*(P$30:P$35&gt;N$30:N$35))</f>
        <v>0</v>
      </c>
      <c r="E82" s="75" cm="1">
        <f t="array" ref="E82">SUMPRODUCT(((M$30:M$35=C82)+(Q$30:Q$35=C82))*(N$30:N$35=P$30:P$35)*(N$30:N$35&lt;&gt;""))</f>
        <v>0</v>
      </c>
      <c r="F82" s="75" cm="1">
        <f t="array" ref="F82">SUMPRODUCT((M$30:M$35=C82)*(N$30:N$35&lt;P$30:P$35)*(N$30:N$35&lt;&gt;"")) + SUMPRODUCT((Q$30:Q$35=C82)*(P$30:P$35&lt;N$30:N$35)*(P$30:P$35&lt;&gt;""))</f>
        <v>0</v>
      </c>
      <c r="G82" s="75">
        <f t="shared" si="24"/>
        <v>0</v>
      </c>
      <c r="H82" s="75">
        <f t="shared" si="25"/>
        <v>0</v>
      </c>
      <c r="I82" s="75">
        <f t="shared" si="26"/>
        <v>0</v>
      </c>
      <c r="J82" s="75">
        <f t="shared" si="27"/>
        <v>0</v>
      </c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 t="s">
        <v>80</v>
      </c>
      <c r="AB82" s="75" cm="1">
        <f t="array" ref="AB82">SUMPRODUCT((T$30:T$35=AA82)*(U$30:U$35&gt;W$30:W$35)) + SUMPRODUCT((X$30:X$35=AA82)*(W$30:W$35&gt;U$30:U$35))</f>
        <v>0</v>
      </c>
      <c r="AC82" s="75" cm="1">
        <f t="array" ref="AC82">SUMPRODUCT(((T$30:T$35=AA82)+(X$30:X$35=AA82))*(U$30:U$35=W$30:W$35)*(U$30:U$35&lt;&gt;""))</f>
        <v>0</v>
      </c>
      <c r="AD82" s="75" cm="1">
        <f t="array" ref="AD82">SUMPRODUCT((T$30:T$35=AA82)*(U$30:U$35&lt;W$30:W$35)*(U$30:U$35&lt;&gt;"")) + SUMPRODUCT((X$30:X$35=AA82)*(W$30:W$35&lt;U$30:U$35)*(W$30:W$35&lt;&gt;""))</f>
        <v>0</v>
      </c>
      <c r="AE82" s="75">
        <f t="shared" si="28"/>
        <v>0</v>
      </c>
      <c r="AF82" s="75">
        <f t="shared" si="29"/>
        <v>0</v>
      </c>
      <c r="AG82" s="75">
        <f t="shared" si="30"/>
        <v>0</v>
      </c>
      <c r="AH82" s="75">
        <f t="shared" si="31"/>
        <v>0</v>
      </c>
      <c r="AI82" s="75"/>
      <c r="AJ82" s="75"/>
    </row>
    <row r="83" spans="2:36" ht="12" customHeight="1" x14ac:dyDescent="0.25"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</row>
    <row r="84" spans="2:36" ht="12" customHeight="1" x14ac:dyDescent="0.25">
      <c r="B84" s="75"/>
      <c r="C84" s="82" t="s">
        <v>52</v>
      </c>
      <c r="D84" s="82"/>
      <c r="E84" s="82"/>
      <c r="F84" s="82"/>
      <c r="G84" s="82"/>
      <c r="H84" s="82"/>
      <c r="I84" s="82"/>
      <c r="J84" s="82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82" t="s">
        <v>75</v>
      </c>
      <c r="AB84" s="82"/>
      <c r="AC84" s="82"/>
      <c r="AD84" s="82"/>
      <c r="AE84" s="82"/>
      <c r="AF84" s="82"/>
      <c r="AG84" s="82"/>
      <c r="AH84" s="82"/>
      <c r="AI84" s="75"/>
      <c r="AJ84" s="75"/>
    </row>
    <row r="85" spans="2:36" ht="12" customHeight="1" x14ac:dyDescent="0.25">
      <c r="B85" s="75"/>
      <c r="C85" s="75" t="s">
        <v>4</v>
      </c>
      <c r="D85" s="75" t="s">
        <v>5</v>
      </c>
      <c r="E85" s="75" t="s">
        <v>6</v>
      </c>
      <c r="F85" s="75" t="s">
        <v>7</v>
      </c>
      <c r="G85" s="75" t="s">
        <v>8</v>
      </c>
      <c r="H85" s="75" t="s">
        <v>9</v>
      </c>
      <c r="I85" s="75" t="s">
        <v>10</v>
      </c>
      <c r="J85" s="75" t="s">
        <v>11</v>
      </c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 t="s">
        <v>4</v>
      </c>
      <c r="AB85" s="75" t="s">
        <v>5</v>
      </c>
      <c r="AC85" s="75" t="s">
        <v>6</v>
      </c>
      <c r="AD85" s="75" t="s">
        <v>7</v>
      </c>
      <c r="AE85" s="75" t="s">
        <v>8</v>
      </c>
      <c r="AF85" s="75" t="s">
        <v>9</v>
      </c>
      <c r="AG85" s="75" t="s">
        <v>10</v>
      </c>
      <c r="AH85" s="75" t="s">
        <v>11</v>
      </c>
      <c r="AI85" s="75"/>
      <c r="AJ85" s="75"/>
    </row>
    <row r="86" spans="2:36" ht="12" customHeight="1" x14ac:dyDescent="0.25">
      <c r="B86" s="75"/>
      <c r="C86" s="75" t="s">
        <v>54</v>
      </c>
      <c r="D86" s="75" cm="1">
        <f t="array" ref="D86">SUMPRODUCT((M$39:M$44=C86)*(N$39:N$44&gt;P$39:P$44)) + SUMPRODUCT((Q$39:Q$44=C86)*(P$39:P$44&gt;N$39:N$44))</f>
        <v>0</v>
      </c>
      <c r="E86" s="75" cm="1">
        <f t="array" ref="E86">SUMPRODUCT(((M$39:M$44=C86)+(Q$39:Q$44=C86))*(N$39:N$44=P$39:P$44)*(N$39:N$44&lt;&gt;""))</f>
        <v>0</v>
      </c>
      <c r="F86" s="75" cm="1">
        <f t="array" ref="F86">SUMPRODUCT((M$39:M$44=C86)*(N$39:N$44&lt;P$39:P$44)*(N$39:N$44&lt;&gt;"")) + SUMPRODUCT((Q$39:Q$44=C86)*(P$39:P$44&lt;N$39:N$44)*(P$39:P$44&lt;&gt;""))</f>
        <v>0</v>
      </c>
      <c r="G86" s="75">
        <f>SUMIF(M$39:M$44, C86, N$39:N$44) + SUMIF(Q$39:Q$44, C86, P$39:P$44)</f>
        <v>0</v>
      </c>
      <c r="H86" s="75">
        <f>SUMIF(M$39:M$44, C86, P$39:P$44) + SUMIF(Q$39:Q$44, C86, N$39:N$44)</f>
        <v>0</v>
      </c>
      <c r="I86" s="75">
        <f>G86 - H86</f>
        <v>0</v>
      </c>
      <c r="J86" s="75">
        <f>(D86 * 3) + E86</f>
        <v>0</v>
      </c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 t="s">
        <v>76</v>
      </c>
      <c r="AB86" s="75" cm="1">
        <f t="array" ref="AB86">SUMPRODUCT((T$39:T$44=AA86)*(U$39:U$44&gt;W$39:W$44)) + SUMPRODUCT((X$39:X$44=AA86)*(W$39:W$44&gt;U$39:U$44))</f>
        <v>0</v>
      </c>
      <c r="AC86" s="75" cm="1">
        <f t="array" ref="AC86">SUMPRODUCT(((T$39:T$44=AA86)+(X$39:X$44=AA86))*(U$39:U$44=W$39:W$44)*(U$39:U$44&lt;&gt;""))</f>
        <v>0</v>
      </c>
      <c r="AD86" s="75" cm="1">
        <f t="array" ref="AD86">SUMPRODUCT((T$39:T$44=AA86)*(U$39:U$44&lt;W$39:W$44)*(U$39:U$44&lt;&gt;"")) + SUMPRODUCT((X$39:X$44=AA86)*(W$39:W$44&lt;U$39:U$44)*(W$39:W$44&lt;&gt;""))</f>
        <v>0</v>
      </c>
      <c r="AE86" s="75">
        <f>SUMIF(T$39:T$44, AA86, U$39:U$44) + SUMIF(X$39:X$44, AA86, W$39:W$44)</f>
        <v>0</v>
      </c>
      <c r="AF86" s="75">
        <f>SUMIF(T$39:T$44, AA86, W$39:W$44) + SUMIF(X$39:X$44, AA86, U$39:U$44)</f>
        <v>0</v>
      </c>
      <c r="AG86" s="75">
        <f>AE86 - AF86</f>
        <v>0</v>
      </c>
      <c r="AH86" s="75">
        <f>(AB86 * 3) + AC86</f>
        <v>0</v>
      </c>
      <c r="AI86" s="75"/>
      <c r="AJ86" s="75"/>
    </row>
    <row r="87" spans="2:36" ht="12" customHeight="1" x14ac:dyDescent="0.25">
      <c r="B87" s="75"/>
      <c r="C87" s="75" t="s">
        <v>55</v>
      </c>
      <c r="D87" s="75" cm="1">
        <f t="array" ref="D87">SUMPRODUCT((M$39:M$44=C87)*(N$39:N$44&gt;P$39:P$44)) + SUMPRODUCT((Q$39:Q$44=C87)*(P$39:P$44&gt;N$39:N$44))</f>
        <v>0</v>
      </c>
      <c r="E87" s="75" cm="1">
        <f t="array" ref="E87">SUMPRODUCT(((M$39:M$44=C87)+(Q$39:Q$44=C87))*(N$39:N$44=P$39:P$44)*(N$39:N$44&lt;&gt;""))</f>
        <v>0</v>
      </c>
      <c r="F87" s="75" cm="1">
        <f t="array" ref="F87">SUMPRODUCT((M$39:M$44=C87)*(N$39:N$44&lt;P$39:P$44)*(N$39:N$44&lt;&gt;"")) + SUMPRODUCT((Q$39:Q$44=C87)*(P$39:P$44&lt;N$39:N$44)*(P$39:P$44&lt;&gt;""))</f>
        <v>0</v>
      </c>
      <c r="G87" s="75">
        <f t="shared" ref="G87:G89" si="32">SUMIF(M$39:M$44, C87, N$39:N$44) + SUMIF(Q$39:Q$44, C87, P$39:P$44)</f>
        <v>0</v>
      </c>
      <c r="H87" s="75">
        <f t="shared" ref="H87:H89" si="33">SUMIF(M$39:M$44, C87, P$39:P$44) + SUMIF(Q$39:Q$44, C87, N$39:N$44)</f>
        <v>0</v>
      </c>
      <c r="I87" s="75">
        <f t="shared" ref="I87:I89" si="34">G87 - H87</f>
        <v>0</v>
      </c>
      <c r="J87" s="75">
        <f t="shared" ref="J87:J89" si="35">(D87 * 3) + E87</f>
        <v>0</v>
      </c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 t="s">
        <v>81</v>
      </c>
      <c r="AB87" s="75" cm="1">
        <f t="array" ref="AB87">SUMPRODUCT((T$39:T$44=AA87)*(U$39:U$44&gt;W$39:W$44)) + SUMPRODUCT((X$39:X$44=AA87)*(W$39:W$44&gt;U$39:U$44))</f>
        <v>0</v>
      </c>
      <c r="AC87" s="75" cm="1">
        <f t="array" ref="AC87">SUMPRODUCT(((T$39:T$44=AA87)+(X$39:X$44=AA87))*(U$39:U$44=W$39:W$44)*(U$39:U$44&lt;&gt;""))</f>
        <v>0</v>
      </c>
      <c r="AD87" s="75" cm="1">
        <f t="array" ref="AD87">SUMPRODUCT((T$39:T$44=AA87)*(U$39:U$44&lt;W$39:W$44)*(U$39:U$44&lt;&gt;"")) + SUMPRODUCT((X$39:X$44=AA87)*(W$39:W$44&lt;U$39:U$44)*(W$39:W$44&lt;&gt;""))</f>
        <v>0</v>
      </c>
      <c r="AE87" s="75">
        <f t="shared" ref="AE87:AE89" si="36">SUMIF(T$39:T$44, AA87, U$39:U$44) + SUMIF(X$39:X$44, AA87, W$39:W$44)</f>
        <v>0</v>
      </c>
      <c r="AF87" s="75">
        <f t="shared" ref="AF87:AF89" si="37">SUMIF(T$39:T$44, AA87, W$39:W$44) + SUMIF(X$39:X$44, AA87, U$39:U$44)</f>
        <v>0</v>
      </c>
      <c r="AG87" s="75">
        <f t="shared" ref="AG87:AG89" si="38">AE87 - AF87</f>
        <v>0</v>
      </c>
      <c r="AH87" s="75">
        <f t="shared" ref="AH87:AH89" si="39">(AB87 * 3) + AC87</f>
        <v>0</v>
      </c>
      <c r="AI87" s="75"/>
      <c r="AJ87" s="75"/>
    </row>
    <row r="88" spans="2:36" ht="12" customHeight="1" x14ac:dyDescent="0.25">
      <c r="B88" s="75"/>
      <c r="C88" s="75" t="s">
        <v>192</v>
      </c>
      <c r="D88" s="75" cm="1">
        <f t="array" ref="D88">SUMPRODUCT((M$39:M$44=C88)*(N$39:N$44&gt;P$39:P$44)) + SUMPRODUCT((Q$39:Q$44=C88)*(P$39:P$44&gt;N$39:N$44))</f>
        <v>0</v>
      </c>
      <c r="E88" s="75" cm="1">
        <f t="array" ref="E88">SUMPRODUCT(((M$39:M$44=C88)+(Q$39:Q$44=C88))*(N$39:N$44=P$39:P$44)*(N$39:N$44&lt;&gt;""))</f>
        <v>0</v>
      </c>
      <c r="F88" s="75" cm="1">
        <f t="array" ref="F88">SUMPRODUCT((M$39:M$44=C88)*(N$39:N$44&lt;P$39:P$44)*(N$39:N$44&lt;&gt;"")) + SUMPRODUCT((Q$39:Q$44=C88)*(P$39:P$44&lt;N$39:N$44)*(P$39:P$44&lt;&gt;""))</f>
        <v>0</v>
      </c>
      <c r="G88" s="75">
        <f t="shared" si="32"/>
        <v>0</v>
      </c>
      <c r="H88" s="75">
        <f t="shared" si="33"/>
        <v>0</v>
      </c>
      <c r="I88" s="75">
        <f t="shared" si="34"/>
        <v>0</v>
      </c>
      <c r="J88" s="75">
        <f t="shared" si="35"/>
        <v>0</v>
      </c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 t="s">
        <v>82</v>
      </c>
      <c r="AB88" s="75" cm="1">
        <f t="array" ref="AB88">SUMPRODUCT((T$39:T$44=AA88)*(U$39:U$44&gt;W$39:W$44)) + SUMPRODUCT((X$39:X$44=AA88)*(W$39:W$44&gt;U$39:U$44))</f>
        <v>0</v>
      </c>
      <c r="AC88" s="75" cm="1">
        <f t="array" ref="AC88">SUMPRODUCT(((T$39:T$44=AA88)+(X$39:X$44=AA88))*(U$39:U$44=W$39:W$44)*(U$39:U$44&lt;&gt;""))</f>
        <v>0</v>
      </c>
      <c r="AD88" s="75" cm="1">
        <f t="array" ref="AD88">SUMPRODUCT((T$39:T$44=AA88)*(U$39:U$44&lt;W$39:W$44)*(U$39:U$44&lt;&gt;"")) + SUMPRODUCT((X$39:X$44=AA88)*(W$39:W$44&lt;U$39:U$44)*(W$39:W$44&lt;&gt;""))</f>
        <v>0</v>
      </c>
      <c r="AE88" s="75">
        <f t="shared" si="36"/>
        <v>0</v>
      </c>
      <c r="AF88" s="75">
        <f t="shared" si="37"/>
        <v>0</v>
      </c>
      <c r="AG88" s="75">
        <f t="shared" si="38"/>
        <v>0</v>
      </c>
      <c r="AH88" s="75">
        <f t="shared" si="39"/>
        <v>0</v>
      </c>
      <c r="AI88" s="75"/>
      <c r="AJ88" s="75"/>
    </row>
    <row r="89" spans="2:36" ht="12" customHeight="1" x14ac:dyDescent="0.25">
      <c r="B89" s="75"/>
      <c r="C89" s="75" t="s">
        <v>56</v>
      </c>
      <c r="D89" s="75" cm="1">
        <f t="array" ref="D89">SUMPRODUCT((M$39:M$44=C89)*(N$39:N$44&gt;P$39:P$44)) + SUMPRODUCT((Q$39:Q$44=C89)*(P$39:P$44&gt;N$39:N$44))</f>
        <v>0</v>
      </c>
      <c r="E89" s="75" cm="1">
        <f t="array" ref="E89">SUMPRODUCT(((M$39:M$44=C89)+(Q$39:Q$44=C89))*(N$39:N$44=P$39:P$44)*(N$39:N$44&lt;&gt;""))</f>
        <v>0</v>
      </c>
      <c r="F89" s="75" cm="1">
        <f t="array" ref="F89">SUMPRODUCT((M$39:M$44=C89)*(N$39:N$44&lt;P$39:P$44)*(N$39:N$44&lt;&gt;"")) + SUMPRODUCT((Q$39:Q$44=C89)*(P$39:P$44&lt;N$39:N$44)*(P$39:P$44&lt;&gt;""))</f>
        <v>0</v>
      </c>
      <c r="G89" s="75">
        <f t="shared" si="32"/>
        <v>0</v>
      </c>
      <c r="H89" s="75">
        <f t="shared" si="33"/>
        <v>0</v>
      </c>
      <c r="I89" s="75">
        <f t="shared" si="34"/>
        <v>0</v>
      </c>
      <c r="J89" s="75">
        <f t="shared" si="35"/>
        <v>0</v>
      </c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 t="s">
        <v>83</v>
      </c>
      <c r="AB89" s="75" cm="1">
        <f t="array" ref="AB89">SUMPRODUCT((T$39:T$44=AA89)*(U$39:U$44&gt;W$39:W$44)) + SUMPRODUCT((X$39:X$44=AA89)*(W$39:W$44&gt;U$39:U$44))</f>
        <v>0</v>
      </c>
      <c r="AC89" s="75" cm="1">
        <f t="array" ref="AC89">SUMPRODUCT(((T$39:T$44=AA89)+(X$39:X$44=AA89))*(U$39:U$44=W$39:W$44)*(U$39:U$44&lt;&gt;""))</f>
        <v>0</v>
      </c>
      <c r="AD89" s="75" cm="1">
        <f t="array" ref="AD89">SUMPRODUCT((T$39:T$44=AA89)*(U$39:U$44&lt;W$39:W$44)*(U$39:U$44&lt;&gt;"")) + SUMPRODUCT((X$39:X$44=AA89)*(W$39:W$44&lt;U$39:U$44)*(W$39:W$44&lt;&gt;""))</f>
        <v>0</v>
      </c>
      <c r="AE89" s="75">
        <f t="shared" si="36"/>
        <v>0</v>
      </c>
      <c r="AF89" s="75">
        <f t="shared" si="37"/>
        <v>0</v>
      </c>
      <c r="AG89" s="75">
        <f t="shared" si="38"/>
        <v>0</v>
      </c>
      <c r="AH89" s="75">
        <f t="shared" si="39"/>
        <v>0</v>
      </c>
      <c r="AI89" s="75"/>
      <c r="AJ89" s="75"/>
    </row>
    <row r="90" spans="2:36" ht="12" customHeight="1" x14ac:dyDescent="0.25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</row>
    <row r="91" spans="2:36" ht="12" customHeight="1" x14ac:dyDescent="0.25">
      <c r="B91" s="75"/>
      <c r="C91" s="82" t="s">
        <v>53</v>
      </c>
      <c r="D91" s="82"/>
      <c r="E91" s="82"/>
      <c r="F91" s="82"/>
      <c r="G91" s="82"/>
      <c r="H91" s="82"/>
      <c r="I91" s="82"/>
      <c r="J91" s="82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82" t="s">
        <v>84</v>
      </c>
      <c r="AB91" s="82"/>
      <c r="AC91" s="82"/>
      <c r="AD91" s="82"/>
      <c r="AE91" s="82"/>
      <c r="AF91" s="82"/>
      <c r="AG91" s="82"/>
      <c r="AH91" s="82"/>
      <c r="AI91" s="75"/>
      <c r="AJ91" s="75"/>
    </row>
    <row r="92" spans="2:36" ht="12" customHeight="1" x14ac:dyDescent="0.25">
      <c r="B92" s="75"/>
      <c r="C92" s="75" t="s">
        <v>4</v>
      </c>
      <c r="D92" s="75" t="s">
        <v>5</v>
      </c>
      <c r="E92" s="75" t="s">
        <v>6</v>
      </c>
      <c r="F92" s="75" t="s">
        <v>7</v>
      </c>
      <c r="G92" s="75" t="s">
        <v>8</v>
      </c>
      <c r="H92" s="75" t="s">
        <v>9</v>
      </c>
      <c r="I92" s="75" t="s">
        <v>10</v>
      </c>
      <c r="J92" s="75" t="s">
        <v>11</v>
      </c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 t="s">
        <v>4</v>
      </c>
      <c r="AB92" s="75" t="s">
        <v>5</v>
      </c>
      <c r="AC92" s="75" t="s">
        <v>6</v>
      </c>
      <c r="AD92" s="75" t="s">
        <v>7</v>
      </c>
      <c r="AE92" s="75" t="s">
        <v>8</v>
      </c>
      <c r="AF92" s="75" t="s">
        <v>9</v>
      </c>
      <c r="AG92" s="75" t="s">
        <v>10</v>
      </c>
      <c r="AH92" s="75" t="s">
        <v>11</v>
      </c>
      <c r="AI92" s="75"/>
      <c r="AJ92" s="75"/>
    </row>
    <row r="93" spans="2:36" ht="12" customHeight="1" x14ac:dyDescent="0.25">
      <c r="B93" s="75"/>
      <c r="C93" s="75" t="s">
        <v>57</v>
      </c>
      <c r="D93" s="75" cm="1">
        <f t="array" ref="D93">SUMPRODUCT((M$48:M$53=C93)*(N$48:N$53&gt;P$48:P$53)) + SUMPRODUCT((Q$48:Q$53=C93)*(P$48:P$53&gt;N$48:N$53))</f>
        <v>0</v>
      </c>
      <c r="E93" s="75" cm="1">
        <f t="array" ref="E93">SUMPRODUCT(((M$48:M$53=C93)+(Q$48:Q$53=C93))*(N$48:N$53=P$48:P$53)*(N$48:N$53&lt;&gt;""))</f>
        <v>0</v>
      </c>
      <c r="F93" s="75" cm="1">
        <f t="array" ref="F93">SUMPRODUCT((M$48:M$53=C93)*(N$48:N$53&lt;P$48:P$53)*(N$48:N$53&lt;&gt;"")) + SUMPRODUCT((Q$48:Q$53=C93)*(P$48:P$53&lt;N$48:N$53)*(P$48:P$53&lt;&gt;""))</f>
        <v>0</v>
      </c>
      <c r="G93" s="75">
        <f>SUMIF(M$48:M$53, C93, N$48:N$53) + SUMIF(Q$48:Q$53, C93, P$48:P$53)</f>
        <v>0</v>
      </c>
      <c r="H93" s="75">
        <f>SUMIF(M$48:M$53, C93, P$48:P$53) + SUMIF(Q$48:Q$53, C93, N$48:N$53)</f>
        <v>0</v>
      </c>
      <c r="I93" s="75">
        <f>G93 - H93</f>
        <v>0</v>
      </c>
      <c r="J93" s="75">
        <f>(D93 * 3) + E93</f>
        <v>0</v>
      </c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 t="s">
        <v>85</v>
      </c>
      <c r="AB93" s="75" cm="1">
        <f t="array" ref="AB93">SUMPRODUCT((T$48:T$53=AA93)*(U$48:U$53&gt;W$48:W$53)) + SUMPRODUCT((X$48:X$53=AA93)*(W$48:W$53&gt;U$48:U$53))</f>
        <v>0</v>
      </c>
      <c r="AC93" s="75" cm="1">
        <f t="array" ref="AC93">SUMPRODUCT(((T$48:T$53=AA93)+(X$48:X$53=AA93))*(U$48:U$53=W$48:W$53)*(U$48:U$53&lt;&gt;""))</f>
        <v>0</v>
      </c>
      <c r="AD93" s="75" cm="1">
        <f t="array" ref="AD93">SUMPRODUCT((T$48:T$53=AA93)*(U$48:U$53&lt;W$48:W$53)*(U$48:U$53&lt;&gt;"")) + SUMPRODUCT((X$48:X$53=AA93)*(W$48:W$53&lt;U$48:U$53)*(W$48:W$53&lt;&gt;""))</f>
        <v>0</v>
      </c>
      <c r="AE93" s="75">
        <f>SUMIF(T$48:T$53, AA93, U$48:U$53) + SUMIF(X$48:X$53, AA93, W$48:W$53)</f>
        <v>0</v>
      </c>
      <c r="AF93" s="75">
        <f>SUMIF(T$48:T$53, AA93, W$48:W$53) + SUMIF(X$48:X$53, AA93, U$48:U$53)</f>
        <v>0</v>
      </c>
      <c r="AG93" s="75">
        <f>AE93 - AF93</f>
        <v>0</v>
      </c>
      <c r="AH93" s="75">
        <f>(AB93 * 3) + AC93</f>
        <v>0</v>
      </c>
      <c r="AI93" s="75"/>
      <c r="AJ93" s="75"/>
    </row>
    <row r="94" spans="2:36" ht="12" customHeight="1" x14ac:dyDescent="0.25">
      <c r="B94" s="75"/>
      <c r="C94" s="75" t="s">
        <v>58</v>
      </c>
      <c r="D94" s="75" cm="1">
        <f t="array" ref="D94">SUMPRODUCT((M$48:M$53=C94)*(N$48:N$53&gt;P$48:P$53)) + SUMPRODUCT((Q$48:Q$53=C94)*(P$48:P$53&gt;N$48:N$53))</f>
        <v>0</v>
      </c>
      <c r="E94" s="75" cm="1">
        <f t="array" ref="E94">SUMPRODUCT(((M$48:M$53=C94)+(Q$48:Q$53=C94))*(N$48:N$53=P$48:P$53)*(N$48:N$53&lt;&gt;""))</f>
        <v>0</v>
      </c>
      <c r="F94" s="75" cm="1">
        <f t="array" ref="F94">SUMPRODUCT((M$48:M$53=C94)*(N$48:N$53&lt;P$48:P$53)*(N$48:N$53&lt;&gt;"")) + SUMPRODUCT((Q$48:Q$53=C94)*(P$48:P$53&lt;N$48:N$53)*(P$48:P$53&lt;&gt;""))</f>
        <v>0</v>
      </c>
      <c r="G94" s="75">
        <f t="shared" ref="G94:G96" si="40">SUMIF(M$48:M$53, C94, N$48:N$53) + SUMIF(Q$48:Q$53, C94, P$48:P$53)</f>
        <v>0</v>
      </c>
      <c r="H94" s="75">
        <f t="shared" ref="H94:H96" si="41">SUMIF(M$48:M$53, C94, P$48:P$53) + SUMIF(Q$48:Q$53, C94, N$48:N$53)</f>
        <v>0</v>
      </c>
      <c r="I94" s="75">
        <f t="shared" ref="I94:I96" si="42">G94 - H94</f>
        <v>0</v>
      </c>
      <c r="J94" s="75">
        <f t="shared" ref="J94:J96" si="43">(D94 * 3) + E94</f>
        <v>0</v>
      </c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 t="s">
        <v>86</v>
      </c>
      <c r="AB94" s="75" cm="1">
        <f t="array" ref="AB94">SUMPRODUCT((T$48:T$53=AA94)*(U$48:U$53&gt;W$48:W$53)) + SUMPRODUCT((X$48:X$53=AA94)*(W$48:W$53&gt;U$48:U$53))</f>
        <v>0</v>
      </c>
      <c r="AC94" s="75" cm="1">
        <f t="array" ref="AC94">SUMPRODUCT(((T$48:T$53=AA94)+(X$48:X$53=AA94))*(U$48:U$53=W$48:W$53)*(U$48:U$53&lt;&gt;""))</f>
        <v>0</v>
      </c>
      <c r="AD94" s="75" cm="1">
        <f t="array" ref="AD94">SUMPRODUCT((T$48:T$53=AA94)*(U$48:U$53&lt;W$48:W$53)*(U$48:U$53&lt;&gt;"")) + SUMPRODUCT((X$48:X$53=AA94)*(W$48:W$53&lt;U$48:U$53)*(W$48:W$53&lt;&gt;""))</f>
        <v>0</v>
      </c>
      <c r="AE94" s="75">
        <f t="shared" ref="AE94:AE96" si="44">SUMIF(T$48:T$53, AA94, U$48:U$53) + SUMIF(X$48:X$53, AA94, W$48:W$53)</f>
        <v>0</v>
      </c>
      <c r="AF94" s="75">
        <f t="shared" ref="AF94:AF96" si="45">SUMIF(T$48:T$53, AA94, W$48:W$53) + SUMIF(X$48:X$53, AA94, U$48:U$53)</f>
        <v>0</v>
      </c>
      <c r="AG94" s="75">
        <f t="shared" ref="AG94:AG96" si="46">AE94 - AF94</f>
        <v>0</v>
      </c>
      <c r="AH94" s="75">
        <f t="shared" ref="AH94:AH96" si="47">(AB94 * 3) + AC94</f>
        <v>0</v>
      </c>
      <c r="AI94" s="75"/>
      <c r="AJ94" s="75"/>
    </row>
    <row r="95" spans="2:36" ht="12" customHeight="1" x14ac:dyDescent="0.25">
      <c r="B95" s="75"/>
      <c r="C95" s="75" t="s">
        <v>59</v>
      </c>
      <c r="D95" s="75" cm="1">
        <f t="array" ref="D95">SUMPRODUCT((M$48:M$53=C95)*(N$48:N$53&gt;P$48:P$53)) + SUMPRODUCT((Q$48:Q$53=C95)*(P$48:P$53&gt;N$48:N$53))</f>
        <v>0</v>
      </c>
      <c r="E95" s="75" cm="1">
        <f t="array" ref="E95">SUMPRODUCT(((M$48:M$53=C95)+(Q$48:Q$53=C95))*(N$48:N$53=P$48:P$53)*(N$48:N$53&lt;&gt;""))</f>
        <v>0</v>
      </c>
      <c r="F95" s="75" cm="1">
        <f t="array" ref="F95">SUMPRODUCT((M$48:M$53=C95)*(N$48:N$53&lt;P$48:P$53)*(N$48:N$53&lt;&gt;"")) + SUMPRODUCT((Q$48:Q$53=C95)*(P$48:P$53&lt;N$48:N$53)*(P$48:P$53&lt;&gt;""))</f>
        <v>0</v>
      </c>
      <c r="G95" s="75">
        <f t="shared" si="40"/>
        <v>0</v>
      </c>
      <c r="H95" s="75">
        <f t="shared" si="41"/>
        <v>0</v>
      </c>
      <c r="I95" s="75">
        <f t="shared" si="42"/>
        <v>0</v>
      </c>
      <c r="J95" s="75">
        <f t="shared" si="43"/>
        <v>0</v>
      </c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 t="s">
        <v>87</v>
      </c>
      <c r="AB95" s="75" cm="1">
        <f t="array" ref="AB95">SUMPRODUCT((T$48:T$53=AA95)*(U$48:U$53&gt;W$48:W$53)) + SUMPRODUCT((X$48:X$53=AA95)*(W$48:W$53&gt;U$48:U$53))</f>
        <v>0</v>
      </c>
      <c r="AC95" s="75" cm="1">
        <f t="array" ref="AC95">SUMPRODUCT(((T$48:T$53=AA95)+(X$48:X$53=AA95))*(U$48:U$53=W$48:W$53)*(U$48:U$53&lt;&gt;""))</f>
        <v>0</v>
      </c>
      <c r="AD95" s="75" cm="1">
        <f t="array" ref="AD95">SUMPRODUCT((T$48:T$53=AA95)*(U$48:U$53&lt;W$48:W$53)*(U$48:U$53&lt;&gt;"")) + SUMPRODUCT((X$48:X$53=AA95)*(W$48:W$53&lt;U$48:U$53)*(W$48:W$53&lt;&gt;""))</f>
        <v>0</v>
      </c>
      <c r="AE95" s="75">
        <f t="shared" si="44"/>
        <v>0</v>
      </c>
      <c r="AF95" s="75">
        <f t="shared" si="45"/>
        <v>0</v>
      </c>
      <c r="AG95" s="75">
        <f t="shared" si="46"/>
        <v>0</v>
      </c>
      <c r="AH95" s="75">
        <f t="shared" si="47"/>
        <v>0</v>
      </c>
      <c r="AI95" s="75"/>
      <c r="AJ95" s="75"/>
    </row>
    <row r="96" spans="2:36" ht="12" customHeight="1" x14ac:dyDescent="0.25">
      <c r="B96" s="75"/>
      <c r="C96" s="75" t="s">
        <v>60</v>
      </c>
      <c r="D96" s="75" cm="1">
        <f t="array" ref="D96">SUMPRODUCT((M$48:M$53=C96)*(N$48:N$53&gt;P$48:P$53)) + SUMPRODUCT((Q$48:Q$53=C96)*(P$48:P$53&gt;N$48:N$53))</f>
        <v>0</v>
      </c>
      <c r="E96" s="75" cm="1">
        <f t="array" ref="E96">SUMPRODUCT(((M$48:M$53=C96)+(Q$48:Q$53=C96))*(N$48:N$53=P$48:P$53)*(N$48:N$53&lt;&gt;""))</f>
        <v>0</v>
      </c>
      <c r="F96" s="75" cm="1">
        <f t="array" ref="F96">SUMPRODUCT((M$48:M$53=C96)*(N$48:N$53&lt;P$48:P$53)*(N$48:N$53&lt;&gt;"")) + SUMPRODUCT((Q$48:Q$53=C96)*(P$48:P$53&lt;N$48:N$53)*(P$48:P$53&lt;&gt;""))</f>
        <v>0</v>
      </c>
      <c r="G96" s="75">
        <f t="shared" si="40"/>
        <v>0</v>
      </c>
      <c r="H96" s="75">
        <f t="shared" si="41"/>
        <v>0</v>
      </c>
      <c r="I96" s="75">
        <f t="shared" si="42"/>
        <v>0</v>
      </c>
      <c r="J96" s="75">
        <f t="shared" si="43"/>
        <v>0</v>
      </c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 t="s">
        <v>88</v>
      </c>
      <c r="AB96" s="75" cm="1">
        <f t="array" ref="AB96">SUMPRODUCT((T$48:T$53=AA96)*(U$48:U$53&gt;W$48:W$53)) + SUMPRODUCT((X$48:X$53=AA96)*(W$48:W$53&gt;U$48:U$53))</f>
        <v>0</v>
      </c>
      <c r="AC96" s="75" cm="1">
        <f t="array" ref="AC96">SUMPRODUCT(((T$48:T$53=AA96)+(X$48:X$53=AA96))*(U$48:U$53=W$48:W$53)*(U$48:U$53&lt;&gt;""))</f>
        <v>0</v>
      </c>
      <c r="AD96" s="75" cm="1">
        <f t="array" ref="AD96">SUMPRODUCT((T$48:T$53=AA96)*(U$48:U$53&lt;W$48:W$53)*(U$48:U$53&lt;&gt;"")) + SUMPRODUCT((X$48:X$53=AA96)*(W$48:W$53&lt;U$48:U$53)*(W$48:W$53&lt;&gt;""))</f>
        <v>0</v>
      </c>
      <c r="AE96" s="75">
        <f t="shared" si="44"/>
        <v>0</v>
      </c>
      <c r="AF96" s="75">
        <f t="shared" si="45"/>
        <v>0</v>
      </c>
      <c r="AG96" s="75">
        <f t="shared" si="46"/>
        <v>0</v>
      </c>
      <c r="AH96" s="75">
        <f t="shared" si="47"/>
        <v>0</v>
      </c>
      <c r="AI96" s="75"/>
      <c r="AJ96" s="75"/>
    </row>
    <row r="97" spans="2:36" ht="12" customHeight="1" x14ac:dyDescent="0.25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</row>
    <row r="98" spans="2:36" ht="12" customHeight="1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</row>
    <row r="99" spans="2:36" ht="12" customHeight="1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</row>
    <row r="100" spans="2:36" ht="12" customHeight="1" x14ac:dyDescent="0.25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</row>
    <row r="101" spans="2:36" ht="12" customHeight="1" x14ac:dyDescent="0.25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</row>
    <row r="102" spans="2:36" ht="12" customHeight="1" x14ac:dyDescent="0.25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</row>
    <row r="103" spans="2:36" ht="12" customHeight="1" x14ac:dyDescent="0.25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</row>
    <row r="104" spans="2:36" ht="12" customHeight="1" x14ac:dyDescent="0.25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</row>
    <row r="105" spans="2:36" ht="12" customHeight="1" x14ac:dyDescent="0.25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</row>
    <row r="106" spans="2:36" ht="12" customHeight="1" x14ac:dyDescent="0.2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</row>
    <row r="107" spans="2:36" ht="12" customHeight="1" x14ac:dyDescent="0.2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</row>
    <row r="108" spans="2:36" ht="12" customHeight="1" x14ac:dyDescent="0.25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</row>
    <row r="109" spans="2:36" ht="12" customHeight="1" x14ac:dyDescent="0.25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</row>
    <row r="110" spans="2:36" ht="12" customHeight="1" x14ac:dyDescent="0.25"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</row>
    <row r="111" spans="2:36" ht="12" customHeight="1" x14ac:dyDescent="0.25"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</row>
    <row r="112" spans="2:36" ht="12" customHeight="1" x14ac:dyDescent="0.25"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</row>
    <row r="113" spans="2:35" ht="12" customHeight="1" x14ac:dyDescent="0.25"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</row>
    <row r="114" spans="2:35" ht="12" customHeight="1" x14ac:dyDescent="0.25"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</row>
    <row r="115" spans="2:35" ht="12" customHeight="1" x14ac:dyDescent="0.25"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</row>
    <row r="116" spans="2:35" ht="12" customHeight="1" x14ac:dyDescent="0.25"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</row>
    <row r="117" spans="2:35" ht="12" customHeight="1" x14ac:dyDescent="0.25"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</row>
    <row r="118" spans="2:35" ht="12" customHeight="1" x14ac:dyDescent="0.25"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</row>
    <row r="119" spans="2:35" ht="12" customHeight="1" x14ac:dyDescent="0.25"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</row>
    <row r="120" spans="2:35" ht="12" customHeight="1" x14ac:dyDescent="0.25"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</row>
    <row r="121" spans="2:35" ht="12" customHeight="1" x14ac:dyDescent="0.25"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</row>
    <row r="122" spans="2:35" ht="12" customHeight="1" x14ac:dyDescent="0.25"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</row>
    <row r="123" spans="2:35" ht="12" customHeight="1" x14ac:dyDescent="0.25"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</row>
    <row r="124" spans="2:35" ht="12" customHeight="1" x14ac:dyDescent="0.25"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</row>
    <row r="125" spans="2:35" ht="12" customHeight="1" x14ac:dyDescent="0.25"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</row>
    <row r="126" spans="2:35" ht="12" customHeight="1" x14ac:dyDescent="0.25"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</row>
    <row r="127" spans="2:35" ht="12" customHeight="1" x14ac:dyDescent="0.25"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</row>
    <row r="128" spans="2:35" ht="12" customHeight="1" x14ac:dyDescent="0.25"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</row>
    <row r="129" spans="2:35" ht="12" customHeight="1" x14ac:dyDescent="0.25"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</row>
    <row r="130" spans="2:35" ht="12" customHeight="1" x14ac:dyDescent="0.25"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</row>
    <row r="131" spans="2:35" ht="12" customHeight="1" x14ac:dyDescent="0.25"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</row>
    <row r="132" spans="2:35" ht="12" customHeight="1" x14ac:dyDescent="0.25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</row>
    <row r="133" spans="2:35" ht="12" customHeight="1" x14ac:dyDescent="0.25"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</row>
    <row r="134" spans="2:35" ht="12" customHeight="1" x14ac:dyDescent="0.25"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</row>
    <row r="135" spans="2:35" ht="12" customHeight="1" x14ac:dyDescent="0.25"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</row>
    <row r="136" spans="2:35" ht="12" customHeight="1" x14ac:dyDescent="0.25"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</row>
    <row r="137" spans="2:35" ht="12" customHeight="1" x14ac:dyDescent="0.25"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</row>
    <row r="138" spans="2:35" ht="12" customHeight="1" x14ac:dyDescent="0.25"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</row>
    <row r="139" spans="2:35" ht="12" customHeight="1" x14ac:dyDescent="0.25"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</row>
    <row r="140" spans="2:35" ht="12" customHeight="1" x14ac:dyDescent="0.25"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</row>
    <row r="141" spans="2:35" ht="12" customHeight="1" x14ac:dyDescent="0.25"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</row>
    <row r="142" spans="2:35" ht="12" customHeight="1" x14ac:dyDescent="0.25"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</row>
    <row r="143" spans="2:35" ht="12" customHeight="1" x14ac:dyDescent="0.25"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</row>
    <row r="144" spans="2:35" ht="12" customHeight="1" x14ac:dyDescent="0.25"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</row>
    <row r="145" spans="2:35" ht="12" customHeight="1" x14ac:dyDescent="0.25"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</row>
    <row r="146" spans="2:35" ht="12" customHeight="1" x14ac:dyDescent="0.25"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</row>
    <row r="147" spans="2:35" ht="12" customHeight="1" x14ac:dyDescent="0.25"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</row>
    <row r="148" spans="2:35" ht="12" customHeight="1" x14ac:dyDescent="0.25"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</row>
  </sheetData>
  <sheetProtection algorithmName="SHA-512" hashValue="RqGomAjCA4au9uWCvuiyoEqS2aA4eVkDOpddh0ErTedJGr2w134/EgrZ4tVvRjWb5FBtYsq3/9JMuX7D9DAh9A==" saltValue="nJWpfmLvfM0pNtyqf/I/mQ==" spinCount="100000" sheet="1" objects="1" scenarios="1" selectLockedCells="1"/>
  <mergeCells count="84">
    <mergeCell ref="C91:J91"/>
    <mergeCell ref="AA56:AH56"/>
    <mergeCell ref="AA63:AH63"/>
    <mergeCell ref="AA70:AH70"/>
    <mergeCell ref="AA77:AH77"/>
    <mergeCell ref="AA84:AH84"/>
    <mergeCell ref="AA91:AH91"/>
    <mergeCell ref="C56:J56"/>
    <mergeCell ref="C63:J63"/>
    <mergeCell ref="C70:J70"/>
    <mergeCell ref="C77:J77"/>
    <mergeCell ref="C84:J84"/>
    <mergeCell ref="M1:Q1"/>
    <mergeCell ref="T1:X1"/>
    <mergeCell ref="C2:J2"/>
    <mergeCell ref="AA2:AH2"/>
    <mergeCell ref="A4:B4"/>
    <mergeCell ref="Y4:Z4"/>
    <mergeCell ref="A5:B5"/>
    <mergeCell ref="Y5:Z5"/>
    <mergeCell ref="A6:B6"/>
    <mergeCell ref="Y6:Z6"/>
    <mergeCell ref="A7:B7"/>
    <mergeCell ref="Y7:Z7"/>
    <mergeCell ref="M10:Q10"/>
    <mergeCell ref="T10:X10"/>
    <mergeCell ref="C11:J11"/>
    <mergeCell ref="AA11:AH11"/>
    <mergeCell ref="A13:B13"/>
    <mergeCell ref="Y13:Z13"/>
    <mergeCell ref="A14:B14"/>
    <mergeCell ref="Y14:Z14"/>
    <mergeCell ref="A15:B15"/>
    <mergeCell ref="Y15:Z15"/>
    <mergeCell ref="A16:B16"/>
    <mergeCell ref="Y16:Z16"/>
    <mergeCell ref="M19:Q19"/>
    <mergeCell ref="T19:X19"/>
    <mergeCell ref="C20:J20"/>
    <mergeCell ref="AA20:AH20"/>
    <mergeCell ref="A22:B22"/>
    <mergeCell ref="Y22:Z22"/>
    <mergeCell ref="A23:B23"/>
    <mergeCell ref="Y23:Z23"/>
    <mergeCell ref="A24:B24"/>
    <mergeCell ref="Y24:Z24"/>
    <mergeCell ref="A25:B25"/>
    <mergeCell ref="Y25:Z25"/>
    <mergeCell ref="M28:Q28"/>
    <mergeCell ref="T28:X28"/>
    <mergeCell ref="C29:J29"/>
    <mergeCell ref="AA29:AH29"/>
    <mergeCell ref="A31:B31"/>
    <mergeCell ref="Y31:Z31"/>
    <mergeCell ref="A32:B32"/>
    <mergeCell ref="Y32:Z32"/>
    <mergeCell ref="A33:B33"/>
    <mergeCell ref="Y33:Z33"/>
    <mergeCell ref="A34:B34"/>
    <mergeCell ref="Y34:Z34"/>
    <mergeCell ref="M37:Q37"/>
    <mergeCell ref="T37:X37"/>
    <mergeCell ref="C38:J38"/>
    <mergeCell ref="AA38:AH38"/>
    <mergeCell ref="A40:B40"/>
    <mergeCell ref="Y40:Z40"/>
    <mergeCell ref="A41:B41"/>
    <mergeCell ref="Y41:Z41"/>
    <mergeCell ref="A42:B42"/>
    <mergeCell ref="Y42:Z42"/>
    <mergeCell ref="A43:B43"/>
    <mergeCell ref="Y43:Z43"/>
    <mergeCell ref="M46:Q46"/>
    <mergeCell ref="T46:X46"/>
    <mergeCell ref="C47:J47"/>
    <mergeCell ref="AA47:AH47"/>
    <mergeCell ref="A49:B49"/>
    <mergeCell ref="Y49:Z49"/>
    <mergeCell ref="A50:B50"/>
    <mergeCell ref="Y50:Z50"/>
    <mergeCell ref="A51:B51"/>
    <mergeCell ref="Y51:Z51"/>
    <mergeCell ref="A52:B52"/>
    <mergeCell ref="Y52:Z52"/>
  </mergeCells>
  <conditionalFormatting sqref="C4:C7 J4:J7">
    <cfRule type="expression" dxfId="39" priority="31" stopIfTrue="1">
      <formula>IF($K$3="GROUP COMPLETE",TRUE,FALSE)</formula>
    </cfRule>
  </conditionalFormatting>
  <conditionalFormatting sqref="C13:C16 J13:J16">
    <cfRule type="expression" dxfId="38" priority="1" stopIfTrue="1">
      <formula>IF($K$12="GROUP COMPLETE",TRUE,FALSE)</formula>
    </cfRule>
  </conditionalFormatting>
  <conditionalFormatting sqref="C22:C25">
    <cfRule type="expression" dxfId="37" priority="5" stopIfTrue="1">
      <formula>IF($K$21="GROUP COMPLETE",TRUE,FALSE)</formula>
    </cfRule>
  </conditionalFormatting>
  <conditionalFormatting sqref="C31:C34 J31:J34">
    <cfRule type="expression" dxfId="36" priority="4" stopIfTrue="1">
      <formula>IF($K$30="GROUP COMPLETE",TRUE,FALSE)</formula>
    </cfRule>
  </conditionalFormatting>
  <conditionalFormatting sqref="C40:C43 J40:J43">
    <cfRule type="expression" dxfId="35" priority="3" stopIfTrue="1">
      <formula>IF($K$39="GROUP COMPLETE",TRUE,FALSE)</formula>
    </cfRule>
  </conditionalFormatting>
  <conditionalFormatting sqref="C49:C52 J49:J52">
    <cfRule type="expression" dxfId="34" priority="2" stopIfTrue="1">
      <formula>IF($K$48="GROUP COMPLETE",TRUE,FALSE)</formula>
    </cfRule>
  </conditionalFormatting>
  <conditionalFormatting sqref="C3:J3 D4:I7">
    <cfRule type="expression" dxfId="33" priority="32" stopIfTrue="1">
      <formula>IF($K$3="GROUP COMPLETE",TRUE,FALSE)</formula>
    </cfRule>
  </conditionalFormatting>
  <conditionalFormatting sqref="C12:J12 D13:I16">
    <cfRule type="expression" dxfId="32" priority="30" stopIfTrue="1">
      <formula>IF($K$12="GROUP COMPLETE",TRUE,FALSE)</formula>
    </cfRule>
  </conditionalFormatting>
  <conditionalFormatting sqref="C21:J21 D22:I25">
    <cfRule type="expression" dxfId="31" priority="28" stopIfTrue="1">
      <formula>IF($K$21="GROUP COMPLETE",TRUE,FALSE)</formula>
    </cfRule>
  </conditionalFormatting>
  <conditionalFormatting sqref="C30:J30 D31:I34">
    <cfRule type="expression" dxfId="30" priority="26" stopIfTrue="1">
      <formula>IF($K$30="GROUP COMPLETE",TRUE,FALSE)</formula>
    </cfRule>
  </conditionalFormatting>
  <conditionalFormatting sqref="C39:J39 D40:I43">
    <cfRule type="expression" dxfId="29" priority="24" stopIfTrue="1">
      <formula>IF($K$39="GROUP COMPLETE",TRUE,FALSE)</formula>
    </cfRule>
  </conditionalFormatting>
  <conditionalFormatting sqref="C48:J48 D49:I52">
    <cfRule type="expression" dxfId="28" priority="22" stopIfTrue="1">
      <formula>IF($K$48="GROUP COMPLETE",TRUE,FALSE)</formula>
    </cfRule>
  </conditionalFormatting>
  <conditionalFormatting sqref="J13:J16 C14:C16">
    <cfRule type="expression" dxfId="27" priority="6" stopIfTrue="1">
      <formula>IF($K$13="GROUP COMPLETE",TRUE,FALSE)</formula>
    </cfRule>
    <cfRule type="expression" dxfId="26" priority="29" stopIfTrue="1">
      <formula>IF($K$12="GROUP COMPLETE",TRUE,FALSE)</formula>
    </cfRule>
  </conditionalFormatting>
  <conditionalFormatting sqref="J22:J25">
    <cfRule type="expression" dxfId="25" priority="27" stopIfTrue="1">
      <formula>IF($K$21="GROUP COMPLETE",TRUE,FALSE)</formula>
    </cfRule>
  </conditionalFormatting>
  <conditionalFormatting sqref="M3:M8 T3:T8 M12:M17 T12:T17 M21:M26 T21:T26 M30:M35 T30:T35 M39:M44 T39:T44 M48:M53 T48:T53">
    <cfRule type="expression" dxfId="24" priority="42" stopIfTrue="1">
      <formula>IF(AND(ISNUMBER(N3),ISNUMBER(P3),N3&gt;P3),TRUE,FALSE)</formula>
    </cfRule>
    <cfRule type="expression" dxfId="23" priority="43" stopIfTrue="1">
      <formula>IF(AND(ISNUMBER(N3),ISNUMBER(P3),N3=P3),TRUE,FALSE)</formula>
    </cfRule>
    <cfRule type="expression" dxfId="22" priority="44" stopIfTrue="1">
      <formula>IF(AND(ISNUMBER(N3),ISNUMBER(P3),N3&lt;P3),TRUE,FALSE)</formula>
    </cfRule>
  </conditionalFormatting>
  <conditionalFormatting sqref="N3:N8 U3:U8 N12:N17 U12:U17 N21:N26 U21:U26 N30:N35 U30:U35 N39:N44 U39:U44 N48:N53 U48:U53">
    <cfRule type="expression" dxfId="21" priority="33" stopIfTrue="1">
      <formula>IF(AND(ISNUMBER(N3),ISNUMBER(P3),N3&gt;P3),TRUE,FALSE)</formula>
    </cfRule>
    <cfRule type="expression" dxfId="20" priority="34" stopIfTrue="1">
      <formula>IF(OR(AND(ISNUMBER(N3),ISNUMBER(P3),N3=P3),ISNUMBER(N3)),TRUE,FALSE)</formula>
    </cfRule>
    <cfRule type="expression" dxfId="19" priority="35" stopIfTrue="1">
      <formula>IF(AND(ISNUMBER(N3),ISNUMBER(P3),N3&lt;P3),TRUE,FALSE)</formula>
    </cfRule>
  </conditionalFormatting>
  <conditionalFormatting sqref="P3:P8 W3:W8 P12:P17 W12:W17 P21:P26 W21:W26 P30:P35 W30:W35 P39:P44 W39:W44 P48:P53 W48:W53">
    <cfRule type="expression" dxfId="18" priority="36" stopIfTrue="1">
      <formula>IF(AND(ISNUMBER(P3),ISNUMBER(N3),P3&gt;N3),TRUE,FALSE)</formula>
    </cfRule>
    <cfRule type="expression" dxfId="17" priority="37" stopIfTrue="1">
      <formula>IF(OR(AND(ISNUMBER(P3),ISNUMBER(N3),P3=N3),ISNUMBER(P3)),TRUE,FALSE)</formula>
    </cfRule>
    <cfRule type="expression" dxfId="16" priority="38" stopIfTrue="1">
      <formula>IF(AND(ISNUMBER(P3),ISNUMBER(N3),P3&lt;N3),TRUE,FALSE)</formula>
    </cfRule>
  </conditionalFormatting>
  <conditionalFormatting sqref="Q3:Q8 X3:X8 Q12:Q17 X12:X17 Q21:Q26 X21:X26 Q30:Q35 X30:X35 Q39:Q44 X39:X44 Q48:Q53 X48:X53">
    <cfRule type="expression" dxfId="15" priority="39" stopIfTrue="1">
      <formula>IF(AND(ISNUMBER(P3),ISNUMBER(N3),P3&gt;N3),TRUE,FALSE)</formula>
    </cfRule>
    <cfRule type="expression" dxfId="14" priority="40" stopIfTrue="1">
      <formula>IF(AND(ISNUMBER(P3),ISNUMBER(N3),P3=N3),TRUE,FALSE)</formula>
    </cfRule>
    <cfRule type="expression" dxfId="13" priority="41" stopIfTrue="1">
      <formula>IF(AND(ISNUMBER(P3),ISNUMBER(N3),P3&lt;N3),TRUE,FALSE)</formula>
    </cfRule>
  </conditionalFormatting>
  <conditionalFormatting sqref="AA4:AA7 AH4:AH7">
    <cfRule type="expression" dxfId="12" priority="19" stopIfTrue="1">
      <formula>IF($AI$3="GROUP COMPLETE",TRUE,FALSE)</formula>
    </cfRule>
  </conditionalFormatting>
  <conditionalFormatting sqref="AA13:AA16 AH13:AH16">
    <cfRule type="expression" dxfId="11" priority="17" stopIfTrue="1">
      <formula>IF($AI$12="GROUP COMPLETE",TRUE,FALSE)</formula>
    </cfRule>
  </conditionalFormatting>
  <conditionalFormatting sqref="AA22:AA25 AH22:AH25">
    <cfRule type="expression" dxfId="10" priority="15" stopIfTrue="1">
      <formula>IF($AI$21="GROUP COMPLETE",TRUE,FALSE)</formula>
    </cfRule>
  </conditionalFormatting>
  <conditionalFormatting sqref="AA31:AA34 AH31:AH34">
    <cfRule type="expression" dxfId="9" priority="13" stopIfTrue="1">
      <formula>IF($AI$30="GROUP COMPLETE",TRUE,FALSE)</formula>
    </cfRule>
  </conditionalFormatting>
  <conditionalFormatting sqref="AA40:AA43 AH40:AH43">
    <cfRule type="expression" dxfId="8" priority="11" stopIfTrue="1">
      <formula>IF($AI$39="GROUP COMPLETE",TRUE,FALSE)</formula>
    </cfRule>
  </conditionalFormatting>
  <conditionalFormatting sqref="AA49:AA52 AH49:AH52">
    <cfRule type="expression" dxfId="7" priority="9" stopIfTrue="1">
      <formula>IF($AI$48="GROUP COMPLETE",TRUE,FALSE)</formula>
    </cfRule>
  </conditionalFormatting>
  <conditionalFormatting sqref="AA3:AH3 AB4:AG7">
    <cfRule type="expression" dxfId="6" priority="20" stopIfTrue="1">
      <formula>IF($AI$3="GROUP COMPLETE",TRUE,FALSE)</formula>
    </cfRule>
  </conditionalFormatting>
  <conditionalFormatting sqref="AA12:AH12 AB13:AG16">
    <cfRule type="expression" dxfId="5" priority="18" stopIfTrue="1">
      <formula>IF($AI$12="GROUP COMPLETE",TRUE,FALSE)</formula>
    </cfRule>
  </conditionalFormatting>
  <conditionalFormatting sqref="AA21:AH21 AB22:AG25">
    <cfRule type="expression" dxfId="4" priority="16" stopIfTrue="1">
      <formula>IF($AI$21="GROUP COMPLETE",TRUE,FALSE)</formula>
    </cfRule>
  </conditionalFormatting>
  <conditionalFormatting sqref="AA30:AH30 AB31:AG34">
    <cfRule type="expression" dxfId="3" priority="14" stopIfTrue="1">
      <formula>IF($AI$30="GROUP COMPLETE",TRUE,FALSE)</formula>
    </cfRule>
  </conditionalFormatting>
  <conditionalFormatting sqref="AA39:AH39 AB40:AG43">
    <cfRule type="expression" dxfId="2" priority="12" stopIfTrue="1">
      <formula>IF($AI$39="GROUP COMPLETE",TRUE,FALSE)</formula>
    </cfRule>
  </conditionalFormatting>
  <conditionalFormatting sqref="AA48:AH48 AB49:AG52">
    <cfRule type="expression" dxfId="1" priority="10" stopIfTrue="1">
      <formula>IF($AI$48="GROUP COMPLETE",TRUE,FALSE)</formula>
    </cfRule>
  </conditionalFormatting>
  <dataValidations count="1">
    <dataValidation type="whole" operator="greaterThanOrEqual" allowBlank="1" showErrorMessage="1" errorTitle="                         REALLY?" error="NUMBERS ONLY.  RETRY PLEASE. " sqref="N3:N8 P3:P8 U3:U8 W3:W8 N12:N17 P12:P17 U12:U17 W12:W17 N21:N26 P21:P26 U21:U26 W21:W26 N30:N35 P30:P35 U30:U35 W30:W35 N39:N44 P39:P44 U39:U44 W39:W44 N48:N53 P48:P53 U48:U53 W48:W53" xr:uid="{86A9B467-4871-49CA-9ADA-F68071CB766F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5949-3822-491A-861C-7FD126488DC2}">
  <sheetPr codeName="Sheet2"/>
  <dimension ref="A1:M124"/>
  <sheetViews>
    <sheetView workbookViewId="0">
      <selection activeCell="J4" sqref="J4:L4"/>
    </sheetView>
  </sheetViews>
  <sheetFormatPr defaultRowHeight="14.25" x14ac:dyDescent="0.2"/>
  <cols>
    <col min="1" max="2" width="9.140625" style="63" customWidth="1"/>
    <col min="3" max="16384" width="9.140625" style="63"/>
  </cols>
  <sheetData>
    <row r="1" spans="1:13" ht="42.75" customHeight="1" x14ac:dyDescent="0.2">
      <c r="A1" s="86" t="s">
        <v>108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12" customHeight="1" x14ac:dyDescent="0.2">
      <c r="A2" s="72"/>
      <c r="B2" s="73"/>
      <c r="C2" s="73"/>
      <c r="D2" s="73"/>
      <c r="E2" s="73"/>
      <c r="F2" s="73"/>
      <c r="G2" s="73"/>
      <c r="H2" s="73"/>
      <c r="I2" s="73"/>
      <c r="J2" s="73"/>
      <c r="K2" s="87" t="str">
        <f>"Completed ("&amp;SUM(20-SUM(COUNTIF(J4,"")+COUNTIF(J6,"")+COUNTIF(I8,"")+COUNTIF(I10,"")+COUNTIF(J12,"")+COUNTIF(K14,"")+COUNTIF(K16,"")+COUNTIF(G18,"")+COUNTIF(H20,"")+COUNTIF(K22,"")+COUNTIF(L24,"&lt;=0")+COUNTIF(I26,"")+COUNTIF(J28,"")+COUNTIF(I30,"")+COUNTIF(I32,"")+COUNTIF(H34,"")+COUNTIF(I36,"")+COUNTIF(I38,"")+COUNTIF(H40,"")+COUNTIF(H42,"")))&amp;" out of 20)"</f>
        <v>Completed (1 out of 20)</v>
      </c>
      <c r="L2" s="87"/>
      <c r="M2" s="87"/>
    </row>
    <row r="3" spans="1:13" x14ac:dyDescent="0.2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x14ac:dyDescent="0.2">
      <c r="A4" s="64" t="s">
        <v>89</v>
      </c>
      <c r="B4" s="64"/>
      <c r="C4" s="64"/>
      <c r="D4" s="64"/>
      <c r="E4" s="64"/>
      <c r="F4" s="64"/>
      <c r="G4" s="64"/>
      <c r="H4" s="64"/>
      <c r="I4" s="64"/>
      <c r="J4" s="83"/>
      <c r="K4" s="84"/>
      <c r="L4" s="85"/>
      <c r="M4" s="64"/>
    </row>
    <row r="5" spans="1:13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13" x14ac:dyDescent="0.2">
      <c r="A6" s="64" t="s">
        <v>90</v>
      </c>
      <c r="B6" s="64"/>
      <c r="C6" s="64"/>
      <c r="D6" s="64"/>
      <c r="E6" s="64"/>
      <c r="F6" s="64"/>
      <c r="G6" s="64"/>
      <c r="H6" s="64"/>
      <c r="I6" s="64"/>
      <c r="J6" s="83"/>
      <c r="K6" s="84"/>
      <c r="L6" s="85"/>
      <c r="M6" s="64"/>
    </row>
    <row r="7" spans="1:13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8" spans="1:13" x14ac:dyDescent="0.2">
      <c r="A8" s="64" t="s">
        <v>91</v>
      </c>
      <c r="B8" s="64"/>
      <c r="C8" s="64"/>
      <c r="D8" s="64"/>
      <c r="E8" s="64"/>
      <c r="F8" s="64"/>
      <c r="G8" s="64"/>
      <c r="H8" s="64"/>
      <c r="I8" s="83"/>
      <c r="J8" s="84"/>
      <c r="K8" s="85"/>
      <c r="L8" s="64"/>
      <c r="M8" s="64"/>
    </row>
    <row r="9" spans="1:13" x14ac:dyDescent="0.2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0" spans="1:13" x14ac:dyDescent="0.2">
      <c r="A10" s="64" t="s">
        <v>92</v>
      </c>
      <c r="B10" s="64"/>
      <c r="C10" s="64"/>
      <c r="D10" s="64"/>
      <c r="E10" s="64"/>
      <c r="F10" s="64"/>
      <c r="G10" s="64"/>
      <c r="H10" s="64"/>
      <c r="I10" s="83"/>
      <c r="J10" s="84"/>
      <c r="K10" s="85"/>
      <c r="L10" s="64"/>
      <c r="M10" s="64"/>
    </row>
    <row r="11" spans="1:13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</row>
    <row r="12" spans="1:13" x14ac:dyDescent="0.2">
      <c r="A12" s="64" t="s">
        <v>93</v>
      </c>
      <c r="B12" s="64"/>
      <c r="C12" s="64"/>
      <c r="D12" s="64"/>
      <c r="E12" s="64"/>
      <c r="F12" s="64"/>
      <c r="G12" s="64"/>
      <c r="H12" s="64"/>
      <c r="I12" s="64"/>
      <c r="J12" s="69"/>
      <c r="K12" s="64"/>
      <c r="L12" s="64"/>
      <c r="M12" s="64"/>
    </row>
    <row r="13" spans="1:13" x14ac:dyDescent="0.2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</row>
    <row r="14" spans="1:13" x14ac:dyDescent="0.2">
      <c r="A14" s="64" t="s">
        <v>94</v>
      </c>
      <c r="B14" s="64"/>
      <c r="C14" s="64"/>
      <c r="D14" s="64"/>
      <c r="E14" s="64"/>
      <c r="F14" s="64"/>
      <c r="G14" s="64"/>
      <c r="H14" s="64"/>
      <c r="I14" s="64"/>
      <c r="J14" s="64"/>
      <c r="K14" s="83"/>
      <c r="L14" s="84"/>
      <c r="M14" s="85"/>
    </row>
    <row r="15" spans="1:13" x14ac:dyDescent="0.2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</row>
    <row r="16" spans="1:13" x14ac:dyDescent="0.2">
      <c r="A16" s="64" t="s">
        <v>95</v>
      </c>
      <c r="B16" s="64"/>
      <c r="C16" s="64"/>
      <c r="D16" s="64"/>
      <c r="E16" s="64"/>
      <c r="F16" s="64"/>
      <c r="G16" s="64"/>
      <c r="H16" s="64"/>
      <c r="I16" s="64"/>
      <c r="J16" s="64"/>
      <c r="K16" s="83"/>
      <c r="L16" s="84"/>
      <c r="M16" s="85"/>
    </row>
    <row r="17" spans="1:13" x14ac:dyDescent="0.2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</row>
    <row r="18" spans="1:13" x14ac:dyDescent="0.2">
      <c r="A18" s="64" t="s">
        <v>96</v>
      </c>
      <c r="B18" s="64"/>
      <c r="C18" s="64"/>
      <c r="D18" s="64"/>
      <c r="E18" s="64"/>
      <c r="F18" s="64"/>
      <c r="G18" s="69"/>
      <c r="H18" s="64"/>
      <c r="I18" s="64"/>
      <c r="J18" s="64"/>
      <c r="K18" s="64"/>
      <c r="L18" s="64"/>
      <c r="M18" s="64"/>
    </row>
    <row r="19" spans="1:13" x14ac:dyDescent="0.2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</row>
    <row r="20" spans="1:13" x14ac:dyDescent="0.2">
      <c r="A20" s="64" t="s">
        <v>97</v>
      </c>
      <c r="B20" s="64"/>
      <c r="C20" s="64"/>
      <c r="D20" s="64"/>
      <c r="E20" s="64"/>
      <c r="F20" s="64"/>
      <c r="G20" s="64"/>
      <c r="H20" s="69"/>
      <c r="I20" s="64"/>
      <c r="J20" s="64"/>
      <c r="K20" s="64"/>
      <c r="L20" s="64"/>
      <c r="M20" s="64"/>
    </row>
    <row r="21" spans="1:13" x14ac:dyDescent="0.2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</row>
    <row r="22" spans="1:13" x14ac:dyDescent="0.2">
      <c r="A22" s="64" t="s">
        <v>98</v>
      </c>
      <c r="B22" s="64"/>
      <c r="C22" s="64"/>
      <c r="D22" s="64"/>
      <c r="E22" s="64"/>
      <c r="F22" s="64"/>
      <c r="G22" s="64"/>
      <c r="H22" s="64"/>
      <c r="I22" s="64"/>
      <c r="J22" s="64"/>
      <c r="K22" s="83"/>
      <c r="L22" s="84"/>
      <c r="M22" s="85"/>
    </row>
    <row r="23" spans="1:13" x14ac:dyDescent="0.2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spans="1:13" x14ac:dyDescent="0.2">
      <c r="A24" s="64" t="s">
        <v>202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76" t="str" cm="1">
        <f t="array" ref="L24">IF(SUM('Group Stage'!O9,'Group Stage'!V9,'Group Stage'!O18,'Group Stage'!V18,'Group Stage'!O27,'Group Stage'!V27,'Group Stage'!O36,'Group Stage'!V36,'Group Stage'!O45,'Group Stage'!V45,'Group Stage'!O54,'Group Stage'!V54)=0,"",SUM('Group Stage'!N3:N8+'Group Stage'!P3:P8+'Group Stage'!U3:U8+'Group Stage'!W3:W8+'Group Stage'!N12:N17+'Group Stage'!P12:P17+'Group Stage'!U12:U17+'Group Stage'!W12:W17+'Group Stage'!N21:N26+'Group Stage'!P21:P26+'Group Stage'!U21:U26+'Group Stage'!W21:W26+'Group Stage'!N30:N35+'Group Stage'!P30:P35+'Group Stage'!U30:U35+'Group Stage'!W30:W35+'Group Stage'!N39:N44+'Group Stage'!P39:P44+'Group Stage'!U39:U44+'Group Stage'!W39:W44+'Group Stage'!N48:N53+'Group Stage'!P48:P53+'Group Stage'!U48:U53+'Group Stage'!W48:W53))</f>
        <v/>
      </c>
      <c r="M24" s="64"/>
    </row>
    <row r="25" spans="1:13" x14ac:dyDescent="0.2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spans="1:13" x14ac:dyDescent="0.2">
      <c r="A26" s="64" t="s">
        <v>99</v>
      </c>
      <c r="B26" s="64"/>
      <c r="C26" s="64"/>
      <c r="D26" s="64"/>
      <c r="E26" s="64"/>
      <c r="F26" s="64"/>
      <c r="G26" s="64"/>
      <c r="H26" s="64"/>
      <c r="I26" s="69"/>
      <c r="J26" s="64"/>
      <c r="K26" s="64"/>
      <c r="L26" s="64"/>
      <c r="M26" s="64"/>
    </row>
    <row r="27" spans="1:13" x14ac:dyDescent="0.2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</row>
    <row r="28" spans="1:13" x14ac:dyDescent="0.2">
      <c r="A28" s="64" t="s">
        <v>100</v>
      </c>
      <c r="B28" s="64"/>
      <c r="C28" s="64"/>
      <c r="D28" s="64"/>
      <c r="E28" s="64"/>
      <c r="F28" s="64"/>
      <c r="G28" s="64"/>
      <c r="H28" s="64"/>
      <c r="I28" s="64"/>
      <c r="J28" s="83"/>
      <c r="K28" s="85"/>
      <c r="L28" s="64"/>
      <c r="M28" s="64"/>
    </row>
    <row r="29" spans="1:13" x14ac:dyDescent="0.2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</row>
    <row r="30" spans="1:13" x14ac:dyDescent="0.2">
      <c r="A30" s="64" t="s">
        <v>101</v>
      </c>
      <c r="B30" s="64"/>
      <c r="C30" s="64"/>
      <c r="D30" s="64"/>
      <c r="E30" s="64"/>
      <c r="F30" s="64"/>
      <c r="G30" s="64"/>
      <c r="H30" s="64"/>
      <c r="I30" s="69"/>
      <c r="J30" s="64"/>
      <c r="K30" s="64"/>
      <c r="L30" s="64"/>
      <c r="M30" s="64"/>
    </row>
    <row r="31" spans="1:13" x14ac:dyDescent="0.2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</row>
    <row r="32" spans="1:13" x14ac:dyDescent="0.2">
      <c r="A32" s="64" t="s">
        <v>102</v>
      </c>
      <c r="B32" s="64"/>
      <c r="C32" s="64"/>
      <c r="D32" s="64"/>
      <c r="E32" s="64"/>
      <c r="F32" s="64"/>
      <c r="G32" s="64"/>
      <c r="H32" s="64"/>
      <c r="I32" s="69"/>
      <c r="J32" s="64"/>
      <c r="K32" s="64"/>
      <c r="L32" s="64"/>
      <c r="M32" s="64"/>
    </row>
    <row r="33" spans="1:13" x14ac:dyDescent="0.2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spans="1:13" x14ac:dyDescent="0.2">
      <c r="A34" s="64" t="s">
        <v>103</v>
      </c>
      <c r="B34" s="64"/>
      <c r="C34" s="64"/>
      <c r="D34" s="64"/>
      <c r="E34" s="64"/>
      <c r="F34" s="64"/>
      <c r="G34" s="64"/>
      <c r="H34" s="69"/>
      <c r="I34" s="64"/>
      <c r="J34" s="64"/>
      <c r="K34" s="64"/>
      <c r="L34" s="64"/>
      <c r="M34" s="64"/>
    </row>
    <row r="35" spans="1:13" x14ac:dyDescent="0.2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 x14ac:dyDescent="0.2">
      <c r="A36" s="64" t="s">
        <v>104</v>
      </c>
      <c r="B36" s="64"/>
      <c r="C36" s="64"/>
      <c r="D36" s="64"/>
      <c r="E36" s="64"/>
      <c r="F36" s="64"/>
      <c r="G36" s="64"/>
      <c r="H36" s="64"/>
      <c r="I36" s="83"/>
      <c r="J36" s="84"/>
      <c r="K36" s="85"/>
      <c r="L36" s="64"/>
      <c r="M36" s="64"/>
    </row>
    <row r="37" spans="1:13" x14ac:dyDescent="0.2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</row>
    <row r="38" spans="1:13" x14ac:dyDescent="0.2">
      <c r="A38" s="64" t="s">
        <v>107</v>
      </c>
      <c r="B38" s="64"/>
      <c r="C38" s="64"/>
      <c r="D38" s="64"/>
      <c r="E38" s="64"/>
      <c r="F38" s="64"/>
      <c r="G38" s="64"/>
      <c r="H38" s="64"/>
      <c r="I38" s="83"/>
      <c r="J38" s="84"/>
      <c r="K38" s="84"/>
      <c r="L38" s="85"/>
      <c r="M38" s="64"/>
    </row>
    <row r="39" spans="1:13" x14ac:dyDescent="0.2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</row>
    <row r="40" spans="1:13" x14ac:dyDescent="0.2">
      <c r="A40" s="64" t="s">
        <v>105</v>
      </c>
      <c r="B40" s="64"/>
      <c r="C40" s="64"/>
      <c r="D40" s="64"/>
      <c r="E40" s="64"/>
      <c r="F40" s="64"/>
      <c r="G40" s="64"/>
      <c r="H40" s="83"/>
      <c r="I40" s="84"/>
      <c r="J40" s="84"/>
      <c r="K40" s="85"/>
      <c r="L40" s="64"/>
      <c r="M40" s="64"/>
    </row>
    <row r="41" spans="1:13" x14ac:dyDescent="0.2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</row>
    <row r="42" spans="1:13" x14ac:dyDescent="0.2">
      <c r="A42" s="64" t="s">
        <v>106</v>
      </c>
      <c r="B42" s="64"/>
      <c r="C42" s="64"/>
      <c r="D42" s="64"/>
      <c r="E42" s="64"/>
      <c r="F42" s="64"/>
      <c r="G42" s="64"/>
      <c r="H42" s="83"/>
      <c r="I42" s="84"/>
      <c r="J42" s="84"/>
      <c r="K42" s="85"/>
      <c r="L42" s="64"/>
      <c r="M42" s="64"/>
    </row>
    <row r="43" spans="1:13" x14ac:dyDescent="0.2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</row>
    <row r="46" spans="1:13" x14ac:dyDescent="0.2">
      <c r="H46" s="74"/>
      <c r="I46" s="74"/>
      <c r="J46" s="74"/>
    </row>
    <row r="47" spans="1:13" ht="15" x14ac:dyDescent="0.25">
      <c r="A47" s="65" t="s">
        <v>109</v>
      </c>
      <c r="B47" s="65" t="s">
        <v>111</v>
      </c>
      <c r="C47" s="65" t="s">
        <v>112</v>
      </c>
      <c r="D47" s="65" t="s">
        <v>113</v>
      </c>
      <c r="E47" s="65" t="s">
        <v>114</v>
      </c>
      <c r="F47" s="66" t="s">
        <v>115</v>
      </c>
      <c r="G47" s="67"/>
      <c r="H47" s="67"/>
      <c r="I47" s="67" t="s">
        <v>188</v>
      </c>
      <c r="J47" s="67"/>
      <c r="K47" s="67"/>
    </row>
    <row r="48" spans="1:13" ht="15" x14ac:dyDescent="0.25">
      <c r="A48" s="65" t="s">
        <v>110</v>
      </c>
      <c r="B48" s="68" t="str">
        <f>J_Team2</f>
        <v>Algeria</v>
      </c>
      <c r="C48" s="68" t="str">
        <f>J_Team2</f>
        <v>Algeria</v>
      </c>
      <c r="D48" s="68" t="str">
        <f>J_Team2</f>
        <v>Algeria</v>
      </c>
      <c r="E48" s="68" t="str">
        <f>J_Team2</f>
        <v>Algeria</v>
      </c>
      <c r="F48" s="66" t="s">
        <v>116</v>
      </c>
      <c r="G48" s="68" t="str">
        <f>J_Team2</f>
        <v>Algeria</v>
      </c>
      <c r="H48" s="65" t="s">
        <v>125</v>
      </c>
      <c r="I48" s="65" t="s">
        <v>125</v>
      </c>
      <c r="J48" s="67"/>
      <c r="K48" s="67"/>
    </row>
    <row r="49" spans="1:11" ht="15" x14ac:dyDescent="0.25">
      <c r="A49" s="67"/>
      <c r="B49" s="68" t="str">
        <f>J_Team1</f>
        <v>Argentina</v>
      </c>
      <c r="C49" s="68" t="str">
        <f>J_Team1</f>
        <v>Argentina</v>
      </c>
      <c r="D49" s="68" t="str">
        <f>J_Team1</f>
        <v>Argentina</v>
      </c>
      <c r="E49" s="68" t="str">
        <f>J_Team1</f>
        <v>Argentina</v>
      </c>
      <c r="F49" s="66" t="s">
        <v>117</v>
      </c>
      <c r="G49" s="68" t="str">
        <f>J_Team1</f>
        <v>Argentina</v>
      </c>
      <c r="H49" s="65" t="s">
        <v>196</v>
      </c>
      <c r="I49" s="65" t="s">
        <v>196</v>
      </c>
      <c r="J49" s="67"/>
      <c r="K49" s="67"/>
    </row>
    <row r="50" spans="1:11" ht="15" x14ac:dyDescent="0.25">
      <c r="A50" s="67"/>
      <c r="B50" s="65" t="str">
        <f>D_Team3</f>
        <v>Australia</v>
      </c>
      <c r="C50" s="65" t="str">
        <f>D_Team3</f>
        <v>Australia</v>
      </c>
      <c r="D50" s="65" t="str">
        <f>D_Team3</f>
        <v>Australia</v>
      </c>
      <c r="E50" s="65" t="str">
        <f>D_Team3</f>
        <v>Australia</v>
      </c>
      <c r="F50" s="66" t="s">
        <v>118</v>
      </c>
      <c r="G50" s="65" t="str">
        <f>D_Team3</f>
        <v>Australia</v>
      </c>
      <c r="H50" s="65" t="s">
        <v>193</v>
      </c>
      <c r="I50" s="65" t="s">
        <v>193</v>
      </c>
      <c r="J50" s="67"/>
      <c r="K50" s="67"/>
    </row>
    <row r="51" spans="1:11" ht="15" x14ac:dyDescent="0.25">
      <c r="A51" s="67"/>
      <c r="B51" s="68" t="str">
        <f>J_Team3</f>
        <v>Austria</v>
      </c>
      <c r="C51" s="68" t="str">
        <f>J_Team3</f>
        <v>Austria</v>
      </c>
      <c r="D51" s="68" t="str">
        <f>J_Team3</f>
        <v>Austria</v>
      </c>
      <c r="E51" s="68" t="str">
        <f>J_Team3</f>
        <v>Austria</v>
      </c>
      <c r="F51" s="66" t="s">
        <v>119</v>
      </c>
      <c r="G51" s="68" t="str">
        <f>J_Team3</f>
        <v>Austria</v>
      </c>
      <c r="H51" s="65" t="s">
        <v>126</v>
      </c>
      <c r="I51" s="65" t="s">
        <v>126</v>
      </c>
      <c r="J51" s="67"/>
      <c r="K51" s="67"/>
    </row>
    <row r="52" spans="1:11" ht="15" x14ac:dyDescent="0.25">
      <c r="A52" s="67"/>
      <c r="B52" s="65" t="str">
        <f>G_Team1</f>
        <v>Belgium</v>
      </c>
      <c r="C52" s="65" t="str">
        <f>G_Team1</f>
        <v>Belgium</v>
      </c>
      <c r="D52" s="65" t="str">
        <f>G_Team1</f>
        <v>Belgium</v>
      </c>
      <c r="E52" s="65" t="str">
        <f>G_Team1</f>
        <v>Belgium</v>
      </c>
      <c r="F52" s="66" t="s">
        <v>120</v>
      </c>
      <c r="G52" s="65" t="str">
        <f>G_Team1</f>
        <v>Belgium</v>
      </c>
      <c r="H52" s="65" t="s">
        <v>127</v>
      </c>
      <c r="I52" s="65" t="s">
        <v>127</v>
      </c>
      <c r="J52" s="67"/>
      <c r="K52" s="67"/>
    </row>
    <row r="53" spans="1:11" ht="15" x14ac:dyDescent="0.25">
      <c r="A53" s="67"/>
      <c r="B53" s="68" t="str">
        <f>I_Team3</f>
        <v>Iraq</v>
      </c>
      <c r="C53" s="68" t="str">
        <f>I_Team3</f>
        <v>Iraq</v>
      </c>
      <c r="D53" s="68" t="str">
        <f>I_Team3</f>
        <v>Iraq</v>
      </c>
      <c r="E53" s="68" t="str">
        <f>I_Team3</f>
        <v>Iraq</v>
      </c>
      <c r="F53" s="66" t="s">
        <v>121</v>
      </c>
      <c r="G53" s="68" t="str">
        <f>I_Team3</f>
        <v>Iraq</v>
      </c>
      <c r="H53" s="65" t="s">
        <v>128</v>
      </c>
      <c r="I53" s="65" t="s">
        <v>128</v>
      </c>
      <c r="J53" s="67"/>
      <c r="K53" s="67"/>
    </row>
    <row r="54" spans="1:11" ht="15" x14ac:dyDescent="0.25">
      <c r="A54" s="67"/>
      <c r="B54" s="65" t="str">
        <f>C_Team1</f>
        <v>Brazil</v>
      </c>
      <c r="C54" s="65" t="str">
        <f>C_Team1</f>
        <v>Brazil</v>
      </c>
      <c r="D54" s="65" t="str">
        <f>C_Team1</f>
        <v>Brazil</v>
      </c>
      <c r="E54" s="65" t="str">
        <f>C_Team1</f>
        <v>Brazil</v>
      </c>
      <c r="F54" s="66" t="s">
        <v>122</v>
      </c>
      <c r="G54" s="65" t="str">
        <f>C_Team1</f>
        <v>Brazil</v>
      </c>
      <c r="H54" s="65" t="s">
        <v>129</v>
      </c>
      <c r="I54" s="65" t="s">
        <v>129</v>
      </c>
      <c r="J54" s="67"/>
      <c r="K54" s="67"/>
    </row>
    <row r="55" spans="1:11" ht="15" x14ac:dyDescent="0.25">
      <c r="A55" s="67"/>
      <c r="B55" s="65" t="str">
        <f>H_Team2</f>
        <v>Cabo Verde</v>
      </c>
      <c r="C55" s="65" t="str">
        <f>H_Team2</f>
        <v>Cabo Verde</v>
      </c>
      <c r="D55" s="65" t="str">
        <f>H_Team2</f>
        <v>Cabo Verde</v>
      </c>
      <c r="E55" s="65" t="str">
        <f>H_Team2</f>
        <v>Cabo Verde</v>
      </c>
      <c r="F55" s="66" t="s">
        <v>123</v>
      </c>
      <c r="G55" s="65" t="str">
        <f>H_Team2</f>
        <v>Cabo Verde</v>
      </c>
      <c r="H55" s="65" t="s">
        <v>130</v>
      </c>
      <c r="I55" s="65" t="s">
        <v>130</v>
      </c>
      <c r="J55" s="67"/>
      <c r="K55" s="67"/>
    </row>
    <row r="56" spans="1:11" ht="15" x14ac:dyDescent="0.25">
      <c r="A56" s="67"/>
      <c r="B56" s="65" t="str">
        <f>B_Team1</f>
        <v>Canada</v>
      </c>
      <c r="C56" s="65" t="str">
        <f>B_Team1</f>
        <v>Canada</v>
      </c>
      <c r="D56" s="65" t="str">
        <f>B_Team1</f>
        <v>Canada</v>
      </c>
      <c r="E56" s="65" t="str">
        <f>B_Team1</f>
        <v>Canada</v>
      </c>
      <c r="F56" s="66" t="s">
        <v>124</v>
      </c>
      <c r="G56" s="65" t="str">
        <f>B_Team1</f>
        <v>Canada</v>
      </c>
      <c r="H56" s="65" t="s">
        <v>131</v>
      </c>
      <c r="I56" s="65" t="s">
        <v>131</v>
      </c>
      <c r="J56" s="67"/>
      <c r="K56" s="67"/>
    </row>
    <row r="57" spans="1:11" ht="15" x14ac:dyDescent="0.25">
      <c r="A57" s="67"/>
      <c r="B57" s="68" t="str">
        <f>K_Team4</f>
        <v>Colombia</v>
      </c>
      <c r="C57" s="68" t="str">
        <f>K_Team4</f>
        <v>Colombia</v>
      </c>
      <c r="D57" s="68" t="str">
        <f>K_Team4</f>
        <v>Colombia</v>
      </c>
      <c r="E57" s="68" t="str">
        <f>K_Team4</f>
        <v>Colombia</v>
      </c>
      <c r="F57" s="67"/>
      <c r="G57" s="68" t="str">
        <f>K_Team4</f>
        <v>Colombia</v>
      </c>
      <c r="H57" s="65" t="s">
        <v>132</v>
      </c>
      <c r="I57" s="65" t="s">
        <v>132</v>
      </c>
      <c r="J57" s="67"/>
      <c r="K57" s="67"/>
    </row>
    <row r="58" spans="1:11" ht="15" x14ac:dyDescent="0.25">
      <c r="A58" s="67"/>
      <c r="B58" s="68" t="str">
        <f>K_Team2</f>
        <v>Congo</v>
      </c>
      <c r="C58" s="68" t="str">
        <f>K_Team2</f>
        <v>Congo</v>
      </c>
      <c r="D58" s="68" t="str">
        <f>K_Team2</f>
        <v>Congo</v>
      </c>
      <c r="E58" s="68" t="str">
        <f>K_Team2</f>
        <v>Congo</v>
      </c>
      <c r="F58" s="67"/>
      <c r="G58" s="68" t="str">
        <f>K_Team2</f>
        <v>Congo</v>
      </c>
      <c r="H58" s="65" t="s">
        <v>133</v>
      </c>
      <c r="I58" s="65" t="s">
        <v>133</v>
      </c>
      <c r="J58" s="67"/>
      <c r="K58" s="67"/>
    </row>
    <row r="59" spans="1:11" ht="15" x14ac:dyDescent="0.25">
      <c r="A59" s="67"/>
      <c r="B59" s="68" t="str">
        <f>L_Team2</f>
        <v>Croatia</v>
      </c>
      <c r="C59" s="68" t="str">
        <f>L_Team2</f>
        <v>Croatia</v>
      </c>
      <c r="D59" s="68" t="str">
        <f>L_Team2</f>
        <v>Croatia</v>
      </c>
      <c r="E59" s="68" t="str">
        <f>L_Team2</f>
        <v>Croatia</v>
      </c>
      <c r="F59" s="67"/>
      <c r="G59" s="68" t="str">
        <f>L_Team2</f>
        <v>Croatia</v>
      </c>
      <c r="H59" s="65" t="s">
        <v>199</v>
      </c>
      <c r="I59" s="65" t="s">
        <v>199</v>
      </c>
      <c r="J59" s="67"/>
      <c r="K59" s="67"/>
    </row>
    <row r="60" spans="1:11" ht="15" x14ac:dyDescent="0.25">
      <c r="A60" s="67"/>
      <c r="B60" s="65" t="str">
        <f>E_Team2</f>
        <v>Curacao</v>
      </c>
      <c r="C60" s="65" t="str">
        <f>E_Team2</f>
        <v>Curacao</v>
      </c>
      <c r="D60" s="65" t="str">
        <f>E_Team2</f>
        <v>Curacao</v>
      </c>
      <c r="E60" s="65" t="str">
        <f>E_Team2</f>
        <v>Curacao</v>
      </c>
      <c r="F60" s="67"/>
      <c r="G60" s="65" t="str">
        <f>E_Team2</f>
        <v>Curacao</v>
      </c>
      <c r="H60" s="65" t="s">
        <v>134</v>
      </c>
      <c r="I60" s="65" t="s">
        <v>134</v>
      </c>
      <c r="J60" s="67"/>
      <c r="K60" s="67"/>
    </row>
    <row r="61" spans="1:11" ht="15" x14ac:dyDescent="0.25">
      <c r="A61" s="67"/>
      <c r="B61" s="65" t="str">
        <f>A_Team4</f>
        <v>Czechia</v>
      </c>
      <c r="C61" s="65" t="str">
        <f>A_Team4</f>
        <v>Czechia</v>
      </c>
      <c r="D61" s="65" t="str">
        <f>A_Team4</f>
        <v>Czechia</v>
      </c>
      <c r="E61" s="65" t="str">
        <f>A_Team4</f>
        <v>Czechia</v>
      </c>
      <c r="F61" s="67"/>
      <c r="G61" s="65" t="str">
        <f>A_Team4</f>
        <v>Czechia</v>
      </c>
      <c r="H61" s="65" t="s">
        <v>135</v>
      </c>
      <c r="I61" s="65" t="s">
        <v>135</v>
      </c>
      <c r="J61" s="67"/>
      <c r="K61" s="67"/>
    </row>
    <row r="62" spans="1:11" ht="15" x14ac:dyDescent="0.25">
      <c r="A62" s="67"/>
      <c r="B62" s="65" t="str">
        <f>E_Team4</f>
        <v>Ecuador</v>
      </c>
      <c r="C62" s="65" t="str">
        <f>E_Team4</f>
        <v>Ecuador</v>
      </c>
      <c r="D62" s="65" t="str">
        <f>E_Team4</f>
        <v>Ecuador</v>
      </c>
      <c r="E62" s="65" t="str">
        <f>E_Team4</f>
        <v>Ecuador</v>
      </c>
      <c r="F62" s="67"/>
      <c r="G62" s="65" t="str">
        <f>E_Team4</f>
        <v>Ecuador</v>
      </c>
      <c r="H62" s="65" t="s">
        <v>136</v>
      </c>
      <c r="I62" s="65" t="s">
        <v>136</v>
      </c>
      <c r="J62" s="67"/>
      <c r="K62" s="67"/>
    </row>
    <row r="63" spans="1:11" ht="15" x14ac:dyDescent="0.25">
      <c r="A63" s="67"/>
      <c r="B63" s="65" t="str">
        <f>G_Team2</f>
        <v>Egypt</v>
      </c>
      <c r="C63" s="65" t="str">
        <f>G_Team2</f>
        <v>Egypt</v>
      </c>
      <c r="D63" s="65" t="str">
        <f>G_Team2</f>
        <v>Egypt</v>
      </c>
      <c r="E63" s="65" t="str">
        <f>G_Team2</f>
        <v>Egypt</v>
      </c>
      <c r="F63" s="67"/>
      <c r="G63" s="65" t="str">
        <f>G_Team2</f>
        <v>Egypt</v>
      </c>
      <c r="H63" s="65" t="s">
        <v>137</v>
      </c>
      <c r="I63" s="65" t="s">
        <v>137</v>
      </c>
      <c r="J63" s="67"/>
      <c r="K63" s="67"/>
    </row>
    <row r="64" spans="1:11" ht="15" x14ac:dyDescent="0.25">
      <c r="A64" s="67"/>
      <c r="B64" s="68" t="str">
        <f>L_Team1</f>
        <v>England</v>
      </c>
      <c r="C64" s="68" t="str">
        <f>L_Team1</f>
        <v>England</v>
      </c>
      <c r="D64" s="68" t="str">
        <f>L_Team1</f>
        <v>England</v>
      </c>
      <c r="E64" s="68" t="str">
        <f>L_Team1</f>
        <v>England</v>
      </c>
      <c r="F64" s="67"/>
      <c r="G64" s="68" t="str">
        <f>L_Team1</f>
        <v>England</v>
      </c>
      <c r="H64" s="65" t="s">
        <v>138</v>
      </c>
      <c r="I64" s="65" t="s">
        <v>138</v>
      </c>
      <c r="J64" s="67"/>
      <c r="K64" s="67"/>
    </row>
    <row r="65" spans="1:11" ht="15" x14ac:dyDescent="0.25">
      <c r="A65" s="67"/>
      <c r="B65" s="68" t="str">
        <f>I_Team1</f>
        <v>France</v>
      </c>
      <c r="C65" s="68" t="str">
        <f>I_Team1</f>
        <v>France</v>
      </c>
      <c r="D65" s="68" t="str">
        <f>I_Team1</f>
        <v>France</v>
      </c>
      <c r="E65" s="68" t="str">
        <f>I_Team1</f>
        <v>France</v>
      </c>
      <c r="F65" s="67"/>
      <c r="G65" s="68" t="str">
        <f>I_Team1</f>
        <v>France</v>
      </c>
      <c r="H65" s="65" t="s">
        <v>139</v>
      </c>
      <c r="I65" s="65" t="s">
        <v>139</v>
      </c>
      <c r="J65" s="67"/>
      <c r="K65" s="67"/>
    </row>
    <row r="66" spans="1:11" ht="15" x14ac:dyDescent="0.25">
      <c r="A66" s="67"/>
      <c r="B66" s="65" t="str">
        <f>E_Team1</f>
        <v>Germany</v>
      </c>
      <c r="C66" s="65" t="str">
        <f>E_Team1</f>
        <v>Germany</v>
      </c>
      <c r="D66" s="65" t="str">
        <f>E_Team1</f>
        <v>Germany</v>
      </c>
      <c r="E66" s="65" t="str">
        <f>E_Team1</f>
        <v>Germany</v>
      </c>
      <c r="F66" s="67"/>
      <c r="G66" s="65" t="str">
        <f>E_Team1</f>
        <v>Germany</v>
      </c>
      <c r="H66" s="65" t="s">
        <v>140</v>
      </c>
      <c r="I66" s="65" t="s">
        <v>140</v>
      </c>
      <c r="J66" s="67"/>
      <c r="K66" s="67"/>
    </row>
    <row r="67" spans="1:11" ht="15" x14ac:dyDescent="0.25">
      <c r="A67" s="67"/>
      <c r="B67" s="68" t="str">
        <f>L_Team3</f>
        <v>Ghana</v>
      </c>
      <c r="C67" s="68" t="str">
        <f>L_Team3</f>
        <v>Ghana</v>
      </c>
      <c r="D67" s="68" t="str">
        <f>L_Team3</f>
        <v>Ghana</v>
      </c>
      <c r="E67" s="68" t="str">
        <f>L_Team3</f>
        <v>Ghana</v>
      </c>
      <c r="F67" s="67"/>
      <c r="G67" s="68" t="str">
        <f>L_Team3</f>
        <v>Ghana</v>
      </c>
      <c r="H67" s="65" t="s">
        <v>141</v>
      </c>
      <c r="I67" s="65" t="s">
        <v>141</v>
      </c>
      <c r="J67" s="67"/>
      <c r="K67" s="67"/>
    </row>
    <row r="68" spans="1:11" ht="15" x14ac:dyDescent="0.25">
      <c r="A68" s="67"/>
      <c r="B68" s="65" t="str">
        <f>C_Team3</f>
        <v>Haiti</v>
      </c>
      <c r="C68" s="65" t="str">
        <f>C_Team3</f>
        <v>Haiti</v>
      </c>
      <c r="D68" s="65" t="str">
        <f>C_Team3</f>
        <v>Haiti</v>
      </c>
      <c r="E68" s="65" t="str">
        <f>C_Team3</f>
        <v>Haiti</v>
      </c>
      <c r="F68" s="67"/>
      <c r="G68" s="65" t="str">
        <f>C_Team3</f>
        <v>Haiti</v>
      </c>
      <c r="H68" s="65" t="s">
        <v>142</v>
      </c>
      <c r="I68" s="65" t="s">
        <v>142</v>
      </c>
      <c r="J68" s="67"/>
      <c r="K68" s="67"/>
    </row>
    <row r="69" spans="1:11" ht="15" x14ac:dyDescent="0.25">
      <c r="A69" s="67"/>
      <c r="B69" s="65" t="str">
        <f>G_Team3</f>
        <v>Iran</v>
      </c>
      <c r="C69" s="65" t="str">
        <f>G_Team3</f>
        <v>Iran</v>
      </c>
      <c r="D69" s="65" t="str">
        <f>G_Team3</f>
        <v>Iran</v>
      </c>
      <c r="E69" s="65" t="str">
        <f>G_Team3</f>
        <v>Iran</v>
      </c>
      <c r="F69" s="67"/>
      <c r="G69" s="65" t="str">
        <f>G_Team3</f>
        <v>Iran</v>
      </c>
      <c r="H69" s="65" t="s">
        <v>143</v>
      </c>
      <c r="I69" s="65" t="s">
        <v>143</v>
      </c>
      <c r="J69" s="67"/>
      <c r="K69" s="67"/>
    </row>
    <row r="70" spans="1:11" ht="15" x14ac:dyDescent="0.25">
      <c r="A70" s="67"/>
      <c r="B70" s="65" t="str">
        <f>B_Team2</f>
        <v>Bosnia</v>
      </c>
      <c r="C70" s="65" t="str">
        <f>B_Team2</f>
        <v>Bosnia</v>
      </c>
      <c r="D70" s="65" t="str">
        <f>B_Team2</f>
        <v>Bosnia</v>
      </c>
      <c r="E70" s="65" t="str">
        <f>B_Team2</f>
        <v>Bosnia</v>
      </c>
      <c r="F70" s="67"/>
      <c r="G70" s="65" t="str">
        <f>B_Team2</f>
        <v>Bosnia</v>
      </c>
      <c r="H70" s="65" t="s">
        <v>144</v>
      </c>
      <c r="I70" s="65" t="s">
        <v>144</v>
      </c>
      <c r="J70" s="67"/>
      <c r="K70" s="67"/>
    </row>
    <row r="71" spans="1:11" ht="15" x14ac:dyDescent="0.25">
      <c r="A71" s="67"/>
      <c r="B71" s="65" t="str">
        <f>E_Team3</f>
        <v>Ivory Coast</v>
      </c>
      <c r="C71" s="65" t="str">
        <f>E_Team3</f>
        <v>Ivory Coast</v>
      </c>
      <c r="D71" s="65" t="str">
        <f>E_Team3</f>
        <v>Ivory Coast</v>
      </c>
      <c r="E71" s="65" t="str">
        <f>E_Team3</f>
        <v>Ivory Coast</v>
      </c>
      <c r="F71" s="67"/>
      <c r="G71" s="65" t="str">
        <f>E_Team3</f>
        <v>Ivory Coast</v>
      </c>
      <c r="H71" s="68" t="s">
        <v>145</v>
      </c>
      <c r="I71" s="68" t="s">
        <v>145</v>
      </c>
      <c r="J71" s="67"/>
      <c r="K71" s="67"/>
    </row>
    <row r="72" spans="1:11" ht="15" x14ac:dyDescent="0.25">
      <c r="A72" s="67"/>
      <c r="B72" s="65" t="str">
        <f>F_Team2</f>
        <v>Japan</v>
      </c>
      <c r="C72" s="65" t="str">
        <f>F_Team2</f>
        <v>Japan</v>
      </c>
      <c r="D72" s="65" t="str">
        <f>F_Team2</f>
        <v>Japan</v>
      </c>
      <c r="E72" s="65" t="str">
        <f>F_Team2</f>
        <v>Japan</v>
      </c>
      <c r="F72" s="67"/>
      <c r="G72" s="65" t="str">
        <f>F_Team2</f>
        <v>Japan</v>
      </c>
      <c r="H72" s="68" t="s">
        <v>197</v>
      </c>
      <c r="I72" s="68" t="s">
        <v>197</v>
      </c>
      <c r="J72" s="67"/>
      <c r="K72" s="67"/>
    </row>
    <row r="73" spans="1:11" x14ac:dyDescent="0.2">
      <c r="A73" s="67"/>
      <c r="B73" s="68" t="str">
        <f>J_Team4</f>
        <v>Jordan</v>
      </c>
      <c r="C73" s="68" t="str">
        <f>J_Team4</f>
        <v>Jordan</v>
      </c>
      <c r="D73" s="68" t="str">
        <f>J_Team4</f>
        <v>Jordan</v>
      </c>
      <c r="E73" s="68" t="str">
        <f>J_Team4</f>
        <v>Jordan</v>
      </c>
      <c r="F73" s="67"/>
      <c r="G73" s="68" t="str">
        <f>J_Team4</f>
        <v>Jordan</v>
      </c>
      <c r="H73" s="68" t="s">
        <v>194</v>
      </c>
      <c r="I73" s="68" t="s">
        <v>194</v>
      </c>
      <c r="J73" s="67"/>
      <c r="K73" s="67"/>
    </row>
    <row r="74" spans="1:11" ht="15" x14ac:dyDescent="0.25">
      <c r="A74" s="67"/>
      <c r="B74" s="65" t="str">
        <f>A_Team3</f>
        <v>South Korea</v>
      </c>
      <c r="C74" s="65" t="str">
        <f>A_Team3</f>
        <v>South Korea</v>
      </c>
      <c r="D74" s="65" t="str">
        <f>A_Team3</f>
        <v>South Korea</v>
      </c>
      <c r="E74" s="65" t="str">
        <f>A_Team3</f>
        <v>South Korea</v>
      </c>
      <c r="F74" s="67"/>
      <c r="G74" s="65" t="str">
        <f>A_Team3</f>
        <v>South Korea</v>
      </c>
      <c r="H74" s="68" t="s">
        <v>146</v>
      </c>
      <c r="I74" s="68" t="s">
        <v>146</v>
      </c>
      <c r="J74" s="67"/>
      <c r="K74" s="67"/>
    </row>
    <row r="75" spans="1:11" ht="15" x14ac:dyDescent="0.25">
      <c r="A75" s="67"/>
      <c r="B75" s="65" t="str">
        <f>A_Team1</f>
        <v>Mexico</v>
      </c>
      <c r="C75" s="65" t="str">
        <f>A_Team1</f>
        <v>Mexico</v>
      </c>
      <c r="D75" s="65" t="str">
        <f>A_Team1</f>
        <v>Mexico</v>
      </c>
      <c r="E75" s="65" t="str">
        <f>A_Team1</f>
        <v>Mexico</v>
      </c>
      <c r="F75" s="67"/>
      <c r="G75" s="65" t="str">
        <f>A_Team1</f>
        <v>Mexico</v>
      </c>
      <c r="H75" s="68" t="s">
        <v>147</v>
      </c>
      <c r="I75" s="68" t="s">
        <v>147</v>
      </c>
      <c r="J75" s="67"/>
      <c r="K75" s="67"/>
    </row>
    <row r="76" spans="1:11" ht="15" x14ac:dyDescent="0.25">
      <c r="A76" s="67"/>
      <c r="B76" s="65" t="str">
        <f>C_Team2</f>
        <v>Morocco</v>
      </c>
      <c r="C76" s="65" t="str">
        <f>C_Team2</f>
        <v>Morocco</v>
      </c>
      <c r="D76" s="65" t="str">
        <f>C_Team2</f>
        <v>Morocco</v>
      </c>
      <c r="E76" s="65" t="str">
        <f>C_Team2</f>
        <v>Morocco</v>
      </c>
      <c r="F76" s="67"/>
      <c r="G76" s="65" t="str">
        <f>C_Team2</f>
        <v>Morocco</v>
      </c>
      <c r="H76" s="68" t="s">
        <v>148</v>
      </c>
      <c r="I76" s="68" t="s">
        <v>148</v>
      </c>
      <c r="J76" s="67"/>
      <c r="K76" s="67"/>
    </row>
    <row r="77" spans="1:11" ht="15" x14ac:dyDescent="0.25">
      <c r="A77" s="67"/>
      <c r="B77" s="65" t="str">
        <f>F_Team1</f>
        <v>Netherlands</v>
      </c>
      <c r="C77" s="65" t="str">
        <f>F_Team1</f>
        <v>Netherlands</v>
      </c>
      <c r="D77" s="65" t="str">
        <f>F_Team1</f>
        <v>Netherlands</v>
      </c>
      <c r="E77" s="65" t="str">
        <f>F_Team1</f>
        <v>Netherlands</v>
      </c>
      <c r="F77" s="67"/>
      <c r="G77" s="65" t="str">
        <f>F_Team1</f>
        <v>Netherlands</v>
      </c>
      <c r="H77" s="68" t="s">
        <v>149</v>
      </c>
      <c r="I77" s="68" t="s">
        <v>149</v>
      </c>
      <c r="J77" s="67"/>
      <c r="K77" s="67"/>
    </row>
    <row r="78" spans="1:11" ht="15" x14ac:dyDescent="0.25">
      <c r="A78" s="67"/>
      <c r="B78" s="65" t="str">
        <f>G_Team4</f>
        <v>New Zealand</v>
      </c>
      <c r="C78" s="65" t="str">
        <f>G_Team4</f>
        <v>New Zealand</v>
      </c>
      <c r="D78" s="65" t="str">
        <f>G_Team4</f>
        <v>New Zealand</v>
      </c>
      <c r="E78" s="65" t="str">
        <f>G_Team4</f>
        <v>New Zealand</v>
      </c>
      <c r="F78" s="67"/>
      <c r="G78" s="65" t="str">
        <f>G_Team4</f>
        <v>New Zealand</v>
      </c>
      <c r="H78" s="68" t="s">
        <v>150</v>
      </c>
      <c r="I78" s="68" t="s">
        <v>150</v>
      </c>
      <c r="J78" s="67"/>
      <c r="K78" s="67"/>
    </row>
    <row r="79" spans="1:11" x14ac:dyDescent="0.2">
      <c r="A79" s="67"/>
      <c r="B79" s="68" t="str">
        <f>I_Team4</f>
        <v>Norway</v>
      </c>
      <c r="C79" s="68" t="str">
        <f>I_Team4</f>
        <v>Norway</v>
      </c>
      <c r="D79" s="68" t="str">
        <f>I_Team4</f>
        <v>Norway</v>
      </c>
      <c r="E79" s="68" t="str">
        <f>I_Team4</f>
        <v>Norway</v>
      </c>
      <c r="F79" s="67"/>
      <c r="G79" s="68" t="str">
        <f>I_Team4</f>
        <v>Norway</v>
      </c>
      <c r="H79" s="68" t="s">
        <v>151</v>
      </c>
      <c r="I79" s="68" t="s">
        <v>151</v>
      </c>
      <c r="J79" s="67"/>
      <c r="K79" s="67"/>
    </row>
    <row r="80" spans="1:11" x14ac:dyDescent="0.2">
      <c r="A80" s="67"/>
      <c r="B80" s="68" t="str">
        <f>L_Team4</f>
        <v>Panama</v>
      </c>
      <c r="C80" s="68" t="str">
        <f>L_Team4</f>
        <v>Panama</v>
      </c>
      <c r="D80" s="68" t="str">
        <f>L_Team4</f>
        <v>Panama</v>
      </c>
      <c r="E80" s="68" t="str">
        <f>L_Team4</f>
        <v>Panama</v>
      </c>
      <c r="F80" s="67"/>
      <c r="G80" s="68" t="str">
        <f>L_Team4</f>
        <v>Panama</v>
      </c>
      <c r="H80" s="68" t="s">
        <v>200</v>
      </c>
      <c r="I80" s="68" t="s">
        <v>200</v>
      </c>
      <c r="J80" s="67"/>
      <c r="K80" s="67"/>
    </row>
    <row r="81" spans="1:11" ht="15" x14ac:dyDescent="0.25">
      <c r="A81" s="67"/>
      <c r="B81" s="65" t="str">
        <f>D_Team2</f>
        <v>Paraguay</v>
      </c>
      <c r="C81" s="65" t="str">
        <f>D_Team2</f>
        <v>Paraguay</v>
      </c>
      <c r="D81" s="65" t="str">
        <f>D_Team2</f>
        <v>Paraguay</v>
      </c>
      <c r="E81" s="65" t="str">
        <f>D_Team2</f>
        <v>Paraguay</v>
      </c>
      <c r="F81" s="67"/>
      <c r="G81" s="65" t="str">
        <f>D_Team2</f>
        <v>Paraguay</v>
      </c>
      <c r="H81" s="68" t="s">
        <v>152</v>
      </c>
      <c r="I81" s="68" t="s">
        <v>152</v>
      </c>
      <c r="J81" s="67"/>
      <c r="K81" s="67"/>
    </row>
    <row r="82" spans="1:11" ht="15" x14ac:dyDescent="0.25">
      <c r="A82" s="67"/>
      <c r="B82" s="65" t="str">
        <f>F_Team3</f>
        <v>Sweden</v>
      </c>
      <c r="C82" s="65" t="str">
        <f>F_Team3</f>
        <v>Sweden</v>
      </c>
      <c r="D82" s="65" t="str">
        <f>F_Team3</f>
        <v>Sweden</v>
      </c>
      <c r="E82" s="65" t="str">
        <f>F_Team3</f>
        <v>Sweden</v>
      </c>
      <c r="F82" s="67"/>
      <c r="G82" s="65" t="str">
        <f>F_Team3</f>
        <v>Sweden</v>
      </c>
      <c r="H82" s="68" t="s">
        <v>153</v>
      </c>
      <c r="I82" s="68" t="s">
        <v>153</v>
      </c>
      <c r="J82" s="67"/>
      <c r="K82" s="67"/>
    </row>
    <row r="83" spans="1:11" x14ac:dyDescent="0.2">
      <c r="A83" s="67"/>
      <c r="B83" s="68" t="str">
        <f>K_Team1</f>
        <v>Portugal</v>
      </c>
      <c r="C83" s="68" t="str">
        <f>K_Team1</f>
        <v>Portugal</v>
      </c>
      <c r="D83" s="68" t="str">
        <f>K_Team1</f>
        <v>Portugal</v>
      </c>
      <c r="E83" s="68" t="str">
        <f>K_Team1</f>
        <v>Portugal</v>
      </c>
      <c r="F83" s="67"/>
      <c r="G83" s="68" t="str">
        <f>K_Team1</f>
        <v>Portugal</v>
      </c>
      <c r="H83" s="68" t="s">
        <v>154</v>
      </c>
      <c r="I83" s="68" t="s">
        <v>154</v>
      </c>
      <c r="J83" s="67"/>
      <c r="K83" s="67"/>
    </row>
    <row r="84" spans="1:11" ht="15" x14ac:dyDescent="0.25">
      <c r="A84" s="67"/>
      <c r="B84" s="65" t="str">
        <f>B_Team3</f>
        <v>Qatar</v>
      </c>
      <c r="C84" s="65" t="str">
        <f>B_Team3</f>
        <v>Qatar</v>
      </c>
      <c r="D84" s="65" t="str">
        <f>B_Team3</f>
        <v>Qatar</v>
      </c>
      <c r="E84" s="65" t="str">
        <f>B_Team3</f>
        <v>Qatar</v>
      </c>
      <c r="F84" s="67"/>
      <c r="G84" s="65" t="str">
        <f>B_Team3</f>
        <v>Qatar</v>
      </c>
      <c r="H84" s="68" t="s">
        <v>155</v>
      </c>
      <c r="I84" s="68" t="s">
        <v>155</v>
      </c>
      <c r="J84" s="67"/>
      <c r="K84" s="67"/>
    </row>
    <row r="85" spans="1:11" ht="15" x14ac:dyDescent="0.25">
      <c r="A85" s="67"/>
      <c r="B85" s="65" t="str">
        <f>H_Team3</f>
        <v>Saudi Arabia</v>
      </c>
      <c r="C85" s="65" t="str">
        <f>H_Team3</f>
        <v>Saudi Arabia</v>
      </c>
      <c r="D85" s="65" t="str">
        <f>H_Team3</f>
        <v>Saudi Arabia</v>
      </c>
      <c r="E85" s="65" t="str">
        <f>H_Team3</f>
        <v>Saudi Arabia</v>
      </c>
      <c r="F85" s="67"/>
      <c r="G85" s="65" t="str">
        <f>H_Team3</f>
        <v>Saudi Arabia</v>
      </c>
      <c r="H85" s="68" t="s">
        <v>156</v>
      </c>
      <c r="I85" s="68" t="s">
        <v>156</v>
      </c>
      <c r="J85" s="67"/>
      <c r="K85" s="67"/>
    </row>
    <row r="86" spans="1:11" ht="15" x14ac:dyDescent="0.25">
      <c r="A86" s="67"/>
      <c r="B86" s="65" t="str">
        <f>C_Team4</f>
        <v>Scotland</v>
      </c>
      <c r="C86" s="65" t="str">
        <f>C_Team4</f>
        <v>Scotland</v>
      </c>
      <c r="D86" s="65" t="str">
        <f>C_Team4</f>
        <v>Scotland</v>
      </c>
      <c r="E86" s="65" t="str">
        <f>C_Team4</f>
        <v>Scotland</v>
      </c>
      <c r="F86" s="67"/>
      <c r="G86" s="65" t="str">
        <f>C_Team4</f>
        <v>Scotland</v>
      </c>
      <c r="H86" s="68" t="s">
        <v>157</v>
      </c>
      <c r="I86" s="68" t="s">
        <v>157</v>
      </c>
      <c r="J86" s="67"/>
      <c r="K86" s="67"/>
    </row>
    <row r="87" spans="1:11" x14ac:dyDescent="0.2">
      <c r="A87" s="67"/>
      <c r="B87" s="68" t="str">
        <f>I_Team2</f>
        <v>Senegal</v>
      </c>
      <c r="C87" s="68" t="str">
        <f>I_Team2</f>
        <v>Senegal</v>
      </c>
      <c r="D87" s="68" t="str">
        <f>I_Team2</f>
        <v>Senegal</v>
      </c>
      <c r="E87" s="68" t="str">
        <f>I_Team2</f>
        <v>Senegal</v>
      </c>
      <c r="F87" s="67"/>
      <c r="G87" s="68" t="str">
        <f>I_Team2</f>
        <v>Senegal</v>
      </c>
      <c r="H87" s="68" t="s">
        <v>158</v>
      </c>
      <c r="I87" s="68" t="s">
        <v>158</v>
      </c>
      <c r="J87" s="67"/>
      <c r="K87" s="67"/>
    </row>
    <row r="88" spans="1:11" ht="15" x14ac:dyDescent="0.25">
      <c r="A88" s="67"/>
      <c r="B88" s="65" t="str">
        <f>A_Team2</f>
        <v>South Africa</v>
      </c>
      <c r="C88" s="65" t="str">
        <f>A_Team2</f>
        <v>South Africa</v>
      </c>
      <c r="D88" s="65" t="str">
        <f>A_Team2</f>
        <v>South Africa</v>
      </c>
      <c r="E88" s="65" t="str">
        <f>A_Team2</f>
        <v>South Africa</v>
      </c>
      <c r="F88" s="67"/>
      <c r="G88" s="65" t="str">
        <f>A_Team2</f>
        <v>South Africa</v>
      </c>
      <c r="H88" s="68" t="s">
        <v>159</v>
      </c>
      <c r="I88" s="68" t="s">
        <v>159</v>
      </c>
      <c r="J88" s="67"/>
      <c r="K88" s="67"/>
    </row>
    <row r="89" spans="1:11" ht="15" x14ac:dyDescent="0.25">
      <c r="A89" s="67"/>
      <c r="B89" s="65" t="str">
        <f>H_Team1</f>
        <v>Spain</v>
      </c>
      <c r="C89" s="65" t="str">
        <f>H_Team1</f>
        <v>Spain</v>
      </c>
      <c r="D89" s="65" t="str">
        <f>H_Team1</f>
        <v>Spain</v>
      </c>
      <c r="E89" s="65" t="str">
        <f>H_Team1</f>
        <v>Spain</v>
      </c>
      <c r="F89" s="67"/>
      <c r="G89" s="65" t="str">
        <f>H_Team1</f>
        <v>Spain</v>
      </c>
      <c r="H89" s="68" t="s">
        <v>160</v>
      </c>
      <c r="I89" s="68" t="s">
        <v>160</v>
      </c>
      <c r="J89" s="67"/>
      <c r="K89" s="67"/>
    </row>
    <row r="90" spans="1:11" ht="15" x14ac:dyDescent="0.25">
      <c r="A90" s="67"/>
      <c r="B90" s="65" t="str">
        <f>B_Team4</f>
        <v>Switzerland</v>
      </c>
      <c r="C90" s="65" t="str">
        <f>B_Team4</f>
        <v>Switzerland</v>
      </c>
      <c r="D90" s="65" t="str">
        <f>B_Team4</f>
        <v>Switzerland</v>
      </c>
      <c r="E90" s="65" t="str">
        <f>B_Team4</f>
        <v>Switzerland</v>
      </c>
      <c r="F90" s="67"/>
      <c r="G90" s="65" t="str">
        <f>B_Team4</f>
        <v>Switzerland</v>
      </c>
      <c r="H90" s="68" t="s">
        <v>161</v>
      </c>
      <c r="I90" s="68" t="s">
        <v>161</v>
      </c>
      <c r="J90" s="67"/>
      <c r="K90" s="67"/>
    </row>
    <row r="91" spans="1:11" ht="15" x14ac:dyDescent="0.25">
      <c r="A91" s="67"/>
      <c r="B91" s="65" t="str">
        <f>F_Team4</f>
        <v>Tunisia</v>
      </c>
      <c r="C91" s="65" t="str">
        <f>F_Team4</f>
        <v>Tunisia</v>
      </c>
      <c r="D91" s="65" t="str">
        <f>F_Team4</f>
        <v>Tunisia</v>
      </c>
      <c r="E91" s="65" t="str">
        <f>F_Team4</f>
        <v>Tunisia</v>
      </c>
      <c r="F91" s="67"/>
      <c r="G91" s="65" t="str">
        <f>F_Team4</f>
        <v>Tunisia</v>
      </c>
      <c r="H91" s="68" t="s">
        <v>162</v>
      </c>
      <c r="I91" s="68" t="s">
        <v>162</v>
      </c>
      <c r="J91" s="67"/>
      <c r="K91" s="67"/>
    </row>
    <row r="92" spans="1:11" ht="15" x14ac:dyDescent="0.25">
      <c r="A92" s="67"/>
      <c r="B92" s="65" t="str">
        <f>D_Team4</f>
        <v>Turkey</v>
      </c>
      <c r="C92" s="65" t="str">
        <f>D_Team4</f>
        <v>Turkey</v>
      </c>
      <c r="D92" s="65" t="str">
        <f>D_Team4</f>
        <v>Turkey</v>
      </c>
      <c r="E92" s="65" t="str">
        <f>D_Team4</f>
        <v>Turkey</v>
      </c>
      <c r="F92" s="67"/>
      <c r="G92" s="65" t="str">
        <f>D_Team4</f>
        <v>Turkey</v>
      </c>
      <c r="H92" s="68" t="s">
        <v>163</v>
      </c>
      <c r="I92" s="68" t="s">
        <v>163</v>
      </c>
      <c r="J92" s="67"/>
      <c r="K92" s="67"/>
    </row>
    <row r="93" spans="1:11" ht="15" x14ac:dyDescent="0.25">
      <c r="A93" s="67"/>
      <c r="B93" s="65" t="str">
        <f>H_Team4</f>
        <v>Uruguay</v>
      </c>
      <c r="C93" s="65" t="str">
        <f>H_Team4</f>
        <v>Uruguay</v>
      </c>
      <c r="D93" s="65" t="str">
        <f>H_Team4</f>
        <v>Uruguay</v>
      </c>
      <c r="E93" s="65" t="str">
        <f>H_Team4</f>
        <v>Uruguay</v>
      </c>
      <c r="F93" s="67"/>
      <c r="G93" s="65" t="str">
        <f>H_Team4</f>
        <v>Uruguay</v>
      </c>
      <c r="H93" s="68" t="s">
        <v>164</v>
      </c>
      <c r="I93" s="68" t="s">
        <v>164</v>
      </c>
      <c r="J93" s="67"/>
      <c r="K93" s="67"/>
    </row>
    <row r="94" spans="1:11" ht="15" x14ac:dyDescent="0.25">
      <c r="A94" s="67"/>
      <c r="B94" s="65" t="str">
        <f>D_Team1</f>
        <v>USA</v>
      </c>
      <c r="C94" s="65" t="str">
        <f>D_Team1</f>
        <v>USA</v>
      </c>
      <c r="D94" s="65" t="str">
        <f>D_Team1</f>
        <v>USA</v>
      </c>
      <c r="E94" s="65" t="str">
        <f>D_Team1</f>
        <v>USA</v>
      </c>
      <c r="F94" s="67"/>
      <c r="G94" s="65" t="str">
        <f>D_Team1</f>
        <v>USA</v>
      </c>
      <c r="H94" s="68" t="s">
        <v>165</v>
      </c>
      <c r="I94" s="68" t="s">
        <v>165</v>
      </c>
      <c r="J94" s="67"/>
      <c r="K94" s="67"/>
    </row>
    <row r="95" spans="1:11" x14ac:dyDescent="0.2">
      <c r="A95" s="67"/>
      <c r="B95" s="68" t="str">
        <f>K_Team3</f>
        <v>Uzbekistan</v>
      </c>
      <c r="C95" s="68" t="str">
        <f>K_Team3</f>
        <v>Uzbekistan</v>
      </c>
      <c r="D95" s="68" t="str">
        <f>K_Team3</f>
        <v>Uzbekistan</v>
      </c>
      <c r="E95" s="68" t="str">
        <f>K_Team3</f>
        <v>Uzbekistan</v>
      </c>
      <c r="F95" s="67"/>
      <c r="G95" s="68" t="str">
        <f>K_Team3</f>
        <v>Uzbekistan</v>
      </c>
      <c r="H95" s="68" t="s">
        <v>166</v>
      </c>
      <c r="I95" s="68" t="s">
        <v>166</v>
      </c>
      <c r="J95" s="67"/>
      <c r="K95" s="67"/>
    </row>
    <row r="96" spans="1:11" x14ac:dyDescent="0.2">
      <c r="A96" s="67"/>
      <c r="B96" s="67"/>
      <c r="C96" s="67"/>
      <c r="D96" s="67"/>
      <c r="E96" s="67"/>
      <c r="F96" s="67"/>
      <c r="G96" s="67"/>
      <c r="H96" s="68" t="s">
        <v>167</v>
      </c>
      <c r="I96" s="68" t="s">
        <v>167</v>
      </c>
      <c r="J96" s="67"/>
      <c r="K96" s="67"/>
    </row>
    <row r="97" spans="1:11" x14ac:dyDescent="0.2">
      <c r="A97" s="67"/>
      <c r="B97" s="67"/>
      <c r="C97" s="67"/>
      <c r="D97" s="67"/>
      <c r="E97" s="67"/>
      <c r="F97" s="67"/>
      <c r="G97" s="67"/>
      <c r="H97" s="68" t="s">
        <v>195</v>
      </c>
      <c r="I97" s="68" t="s">
        <v>195</v>
      </c>
      <c r="J97" s="67"/>
      <c r="K97" s="67"/>
    </row>
    <row r="98" spans="1:11" x14ac:dyDescent="0.2">
      <c r="A98" s="67"/>
      <c r="B98" s="67"/>
      <c r="C98" s="67"/>
      <c r="D98" s="67"/>
      <c r="E98" s="67"/>
      <c r="F98" s="67"/>
      <c r="G98" s="67"/>
      <c r="H98" s="68" t="s">
        <v>168</v>
      </c>
      <c r="I98" s="68" t="s">
        <v>168</v>
      </c>
      <c r="J98" s="67"/>
      <c r="K98" s="67"/>
    </row>
    <row r="99" spans="1:11" x14ac:dyDescent="0.2">
      <c r="A99" s="67"/>
      <c r="B99" s="67"/>
      <c r="C99" s="67"/>
      <c r="D99" s="67"/>
      <c r="E99" s="67"/>
      <c r="F99" s="67"/>
      <c r="G99" s="67"/>
      <c r="H99" s="68" t="s">
        <v>169</v>
      </c>
      <c r="I99" s="68" t="s">
        <v>169</v>
      </c>
      <c r="J99" s="67"/>
      <c r="K99" s="67"/>
    </row>
    <row r="100" spans="1:11" x14ac:dyDescent="0.2">
      <c r="A100" s="67"/>
      <c r="B100" s="67"/>
      <c r="C100" s="67"/>
      <c r="D100" s="67"/>
      <c r="E100" s="67"/>
      <c r="F100" s="67"/>
      <c r="G100" s="67"/>
      <c r="H100" s="68" t="s">
        <v>198</v>
      </c>
      <c r="I100" s="68" t="s">
        <v>198</v>
      </c>
      <c r="J100" s="67"/>
      <c r="K100" s="67"/>
    </row>
    <row r="101" spans="1:11" x14ac:dyDescent="0.2">
      <c r="A101" s="67"/>
      <c r="B101" s="67"/>
      <c r="C101" s="67"/>
      <c r="D101" s="67"/>
      <c r="E101" s="67"/>
      <c r="F101" s="67"/>
      <c r="G101" s="67"/>
      <c r="H101" s="68" t="s">
        <v>170</v>
      </c>
      <c r="I101" s="68" t="s">
        <v>170</v>
      </c>
      <c r="J101" s="67"/>
      <c r="K101" s="67"/>
    </row>
    <row r="102" spans="1:11" x14ac:dyDescent="0.2">
      <c r="A102" s="67"/>
      <c r="B102" s="67"/>
      <c r="C102" s="67"/>
      <c r="D102" s="67"/>
      <c r="E102" s="67"/>
      <c r="F102" s="67"/>
      <c r="G102" s="67"/>
      <c r="H102" s="68" t="s">
        <v>171</v>
      </c>
      <c r="I102" s="68" t="s">
        <v>171</v>
      </c>
      <c r="J102" s="67"/>
      <c r="K102" s="67"/>
    </row>
    <row r="103" spans="1:11" x14ac:dyDescent="0.2">
      <c r="A103" s="67"/>
      <c r="B103" s="67"/>
      <c r="C103" s="67"/>
      <c r="D103" s="67"/>
      <c r="E103" s="67"/>
      <c r="F103" s="67"/>
      <c r="G103" s="67"/>
      <c r="H103" s="68" t="s">
        <v>172</v>
      </c>
      <c r="I103" s="68" t="s">
        <v>172</v>
      </c>
      <c r="J103" s="67"/>
      <c r="K103" s="67"/>
    </row>
    <row r="104" spans="1:11" x14ac:dyDescent="0.2">
      <c r="A104" s="67"/>
      <c r="B104" s="67"/>
      <c r="C104" s="67"/>
      <c r="D104" s="67"/>
      <c r="E104" s="67"/>
      <c r="F104" s="67"/>
      <c r="G104" s="67"/>
      <c r="H104" s="68" t="s">
        <v>201</v>
      </c>
      <c r="I104" s="68" t="s">
        <v>201</v>
      </c>
      <c r="J104" s="67"/>
      <c r="K104" s="67"/>
    </row>
    <row r="105" spans="1:11" x14ac:dyDescent="0.2">
      <c r="A105" s="67"/>
      <c r="B105" s="67"/>
      <c r="C105" s="67"/>
      <c r="D105" s="67"/>
      <c r="E105" s="67"/>
      <c r="F105" s="67"/>
      <c r="G105" s="67"/>
      <c r="H105" s="68" t="s">
        <v>173</v>
      </c>
      <c r="I105" s="68" t="s">
        <v>173</v>
      </c>
      <c r="J105" s="67"/>
      <c r="K105" s="67"/>
    </row>
    <row r="106" spans="1:11" x14ac:dyDescent="0.2">
      <c r="A106" s="67"/>
      <c r="B106" s="67"/>
      <c r="C106" s="67"/>
      <c r="D106" s="67"/>
      <c r="E106" s="67"/>
      <c r="F106" s="67"/>
      <c r="G106" s="67"/>
      <c r="H106" s="68" t="s">
        <v>174</v>
      </c>
      <c r="I106" s="68" t="s">
        <v>174</v>
      </c>
      <c r="J106" s="67"/>
      <c r="K106" s="67"/>
    </row>
    <row r="107" spans="1:11" x14ac:dyDescent="0.2">
      <c r="A107" s="67"/>
      <c r="B107" s="67"/>
      <c r="C107" s="67"/>
      <c r="D107" s="67"/>
      <c r="E107" s="67"/>
      <c r="F107" s="67"/>
      <c r="G107" s="67"/>
      <c r="H107" s="68" t="s">
        <v>175</v>
      </c>
      <c r="I107" s="68" t="s">
        <v>175</v>
      </c>
      <c r="J107" s="67"/>
      <c r="K107" s="67"/>
    </row>
    <row r="108" spans="1:11" x14ac:dyDescent="0.2">
      <c r="A108" s="67"/>
      <c r="B108" s="67"/>
      <c r="C108" s="67"/>
      <c r="D108" s="67"/>
      <c r="E108" s="67"/>
      <c r="F108" s="67"/>
      <c r="G108" s="67"/>
      <c r="H108" s="68" t="s">
        <v>176</v>
      </c>
      <c r="I108" s="68" t="s">
        <v>176</v>
      </c>
      <c r="J108" s="67"/>
      <c r="K108" s="67"/>
    </row>
    <row r="109" spans="1:11" x14ac:dyDescent="0.2">
      <c r="A109" s="67"/>
      <c r="B109" s="67"/>
      <c r="C109" s="67"/>
      <c r="D109" s="67"/>
      <c r="E109" s="67"/>
      <c r="F109" s="67"/>
      <c r="G109" s="67"/>
      <c r="H109" s="68" t="s">
        <v>177</v>
      </c>
      <c r="I109" s="68" t="s">
        <v>177</v>
      </c>
      <c r="J109" s="67"/>
      <c r="K109" s="67"/>
    </row>
    <row r="110" spans="1:11" x14ac:dyDescent="0.2">
      <c r="A110" s="67"/>
      <c r="B110" s="67"/>
      <c r="C110" s="67"/>
      <c r="D110" s="67"/>
      <c r="E110" s="67"/>
      <c r="F110" s="67"/>
      <c r="G110" s="67"/>
      <c r="H110" s="68" t="s">
        <v>178</v>
      </c>
      <c r="I110" s="68" t="s">
        <v>178</v>
      </c>
      <c r="J110" s="67"/>
      <c r="K110" s="67"/>
    </row>
    <row r="111" spans="1:11" x14ac:dyDescent="0.2">
      <c r="A111" s="67"/>
      <c r="B111" s="67"/>
      <c r="C111" s="67"/>
      <c r="D111" s="67"/>
      <c r="E111" s="67"/>
      <c r="F111" s="67"/>
      <c r="G111" s="67"/>
      <c r="H111" s="68" t="s">
        <v>179</v>
      </c>
      <c r="I111" s="68" t="s">
        <v>179</v>
      </c>
      <c r="J111" s="67"/>
      <c r="K111" s="67"/>
    </row>
    <row r="112" spans="1:11" x14ac:dyDescent="0.2">
      <c r="A112" s="67"/>
      <c r="B112" s="67"/>
      <c r="C112" s="67"/>
      <c r="D112" s="67"/>
      <c r="E112" s="67"/>
      <c r="F112" s="67"/>
      <c r="G112" s="67"/>
      <c r="H112" s="68" t="s">
        <v>180</v>
      </c>
      <c r="I112" s="68" t="s">
        <v>180</v>
      </c>
      <c r="J112" s="67"/>
      <c r="K112" s="67"/>
    </row>
    <row r="113" spans="1:11" x14ac:dyDescent="0.2">
      <c r="A113" s="67"/>
      <c r="B113" s="67"/>
      <c r="C113" s="67"/>
      <c r="D113" s="67"/>
      <c r="E113" s="67"/>
      <c r="F113" s="67"/>
      <c r="G113" s="67"/>
      <c r="H113" s="68" t="s">
        <v>181</v>
      </c>
      <c r="I113" s="68" t="s">
        <v>181</v>
      </c>
      <c r="J113" s="67"/>
      <c r="K113" s="67"/>
    </row>
    <row r="114" spans="1:11" x14ac:dyDescent="0.2">
      <c r="A114" s="67"/>
      <c r="B114" s="67"/>
      <c r="C114" s="67"/>
      <c r="D114" s="67"/>
      <c r="E114" s="67"/>
      <c r="F114" s="67"/>
      <c r="G114" s="67"/>
      <c r="H114" s="68" t="s">
        <v>182</v>
      </c>
      <c r="I114" s="68" t="s">
        <v>182</v>
      </c>
      <c r="J114" s="67"/>
      <c r="K114" s="67"/>
    </row>
    <row r="115" spans="1:11" x14ac:dyDescent="0.2">
      <c r="A115" s="67"/>
      <c r="B115" s="67"/>
      <c r="C115" s="67"/>
      <c r="D115" s="67"/>
      <c r="E115" s="67"/>
      <c r="F115" s="67"/>
      <c r="G115" s="67"/>
      <c r="H115" s="68" t="s">
        <v>183</v>
      </c>
      <c r="I115" s="68" t="s">
        <v>183</v>
      </c>
      <c r="J115" s="67"/>
      <c r="K115" s="67"/>
    </row>
    <row r="116" spans="1:11" x14ac:dyDescent="0.2">
      <c r="A116" s="67"/>
      <c r="B116" s="67"/>
      <c r="C116" s="67"/>
      <c r="D116" s="67"/>
      <c r="E116" s="67"/>
      <c r="F116" s="67"/>
      <c r="G116" s="67"/>
      <c r="H116" s="68" t="s">
        <v>184</v>
      </c>
      <c r="I116" s="68" t="s">
        <v>184</v>
      </c>
      <c r="J116" s="67"/>
      <c r="K116" s="67"/>
    </row>
    <row r="117" spans="1:11" x14ac:dyDescent="0.2">
      <c r="A117" s="67"/>
      <c r="B117" s="67"/>
      <c r="C117" s="67"/>
      <c r="D117" s="67"/>
      <c r="E117" s="67"/>
      <c r="F117" s="67"/>
      <c r="G117" s="67"/>
      <c r="H117" s="68" t="s">
        <v>185</v>
      </c>
      <c r="I117" s="68" t="s">
        <v>185</v>
      </c>
      <c r="J117" s="67"/>
      <c r="K117" s="67"/>
    </row>
    <row r="118" spans="1:11" x14ac:dyDescent="0.2">
      <c r="A118" s="67"/>
      <c r="B118" s="67"/>
      <c r="C118" s="67"/>
      <c r="D118" s="67"/>
      <c r="E118" s="67"/>
      <c r="F118" s="67"/>
      <c r="G118" s="67"/>
      <c r="H118" s="68" t="s">
        <v>186</v>
      </c>
      <c r="I118" s="68" t="s">
        <v>186</v>
      </c>
      <c r="J118" s="67"/>
      <c r="K118" s="67"/>
    </row>
    <row r="119" spans="1:11" x14ac:dyDescent="0.2">
      <c r="A119" s="67"/>
      <c r="B119" s="67"/>
      <c r="C119" s="67"/>
      <c r="D119" s="67"/>
      <c r="E119" s="67"/>
      <c r="F119" s="67"/>
      <c r="G119" s="67"/>
      <c r="H119" s="68" t="s">
        <v>187</v>
      </c>
      <c r="I119" s="68" t="s">
        <v>187</v>
      </c>
      <c r="J119" s="67"/>
      <c r="K119" s="67"/>
    </row>
    <row r="120" spans="1:11" x14ac:dyDescent="0.2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</row>
    <row r="121" spans="1:11" x14ac:dyDescent="0.2">
      <c r="H121" s="67"/>
      <c r="I121" s="67"/>
      <c r="J121" s="67"/>
    </row>
    <row r="122" spans="1:11" x14ac:dyDescent="0.2">
      <c r="H122" s="67"/>
      <c r="I122" s="67"/>
      <c r="J122" s="67"/>
    </row>
    <row r="123" spans="1:11" x14ac:dyDescent="0.2">
      <c r="H123" s="67"/>
      <c r="I123" s="67"/>
      <c r="J123" s="67"/>
    </row>
    <row r="124" spans="1:11" x14ac:dyDescent="0.2">
      <c r="H124" s="74"/>
      <c r="I124" s="74"/>
      <c r="J124" s="74"/>
    </row>
  </sheetData>
  <sheetProtection algorithmName="SHA-512" hashValue="GvHqKQ4JtC3ruYfz2947+HLbzqOTw0b2wdWYb5lXlhXb0LsAm/ybIFQIQP37HjWD1iFP6fumJpaYuVPXM8QwsQ==" saltValue="jUVS5oZm/62uA2vKhMx8Hg==" spinCount="100000" sheet="1" objects="1" scenarios="1" selectLockedCells="1"/>
  <mergeCells count="14">
    <mergeCell ref="A1:M1"/>
    <mergeCell ref="K2:M2"/>
    <mergeCell ref="K14:M14"/>
    <mergeCell ref="K16:M16"/>
    <mergeCell ref="J4:L4"/>
    <mergeCell ref="J6:L6"/>
    <mergeCell ref="I8:K8"/>
    <mergeCell ref="I10:K10"/>
    <mergeCell ref="H42:K42"/>
    <mergeCell ref="I38:L38"/>
    <mergeCell ref="K22:M22"/>
    <mergeCell ref="J28:K28"/>
    <mergeCell ref="I36:K36"/>
    <mergeCell ref="H40:K40"/>
  </mergeCells>
  <conditionalFormatting sqref="K2:M2">
    <cfRule type="expression" dxfId="0" priority="1">
      <formula>IF(SUM(20-SUM(COUNTIF(J4,"")+COUNTIF(J6,"")+COUNTIF(I8,"")+COUNTIF(I10,"")+COUNTIF(J12,"")+COUNTIF(K14,"")+COUNTIF(K16,"")+COUNTIF(G18,"")+COUNTIF(H20,"")+COUNTIF(K22,"")+COUNTIF(L24,"")+COUNTIF(I26,"")+COUNTIF(J28,"")+COUNTIF(I30,"")+COUNTIF(I32,"")+COUNTIF(H34,"")+COUNTIF(I36,"")+COUNTIF(I38,"")+COUNTIF(H40,"")+COUNTIF(H42,"")))=20, TRUE, FALSE)</formula>
    </cfRule>
  </conditionalFormatting>
  <dataValidations count="11">
    <dataValidation type="list" allowBlank="1" showInputMessage="1" showErrorMessage="1" sqref="J4:L4 K22:M22 I8:K8" xr:uid="{D52D97AD-1AE9-40DD-9BEA-BCD5AB9ACC60}">
      <formula1>$B$46:$B$95</formula1>
    </dataValidation>
    <dataValidation type="list" allowBlank="1" showInputMessage="1" showErrorMessage="1" sqref="I10:K10" xr:uid="{C47E992F-545E-4B08-B80D-16DBC847A68B}">
      <formula1>$E$46:$E$95</formula1>
    </dataValidation>
    <dataValidation type="list" allowBlank="1" showInputMessage="1" showErrorMessage="1" sqref="K16:M16 K14:M14" xr:uid="{76EF4485-CA02-4D4E-A2E1-8CD801C7D556}">
      <formula1>$C$46:$C$95</formula1>
    </dataValidation>
    <dataValidation type="list" allowBlank="1" showInputMessage="1" showErrorMessage="1" sqref="J28:K28" xr:uid="{38B756F5-E140-4362-A249-C9B392C7E807}">
      <formula1>$F$46:$F$56</formula1>
    </dataValidation>
    <dataValidation type="list" allowBlank="1" showInputMessage="1" showErrorMessage="1" sqref="H34" xr:uid="{D8ED927C-B503-4DEF-9934-7A640E251090}">
      <formula1>$A$46:$A$48</formula1>
    </dataValidation>
    <dataValidation type="list" allowBlank="1" showInputMessage="1" showErrorMessage="1" sqref="I36:K36" xr:uid="{8E3F3738-4CD0-4686-BC64-2AE41C33B831}">
      <formula1>$G$47:$G$95</formula1>
    </dataValidation>
    <dataValidation type="list" allowBlank="1" showInputMessage="1" showErrorMessage="1" sqref="I38:L38" xr:uid="{1482A8EF-E71E-4A25-B1F1-2342B8E51F2A}">
      <formula1>$H$47:$H$119</formula1>
    </dataValidation>
    <dataValidation type="whole" allowBlank="1" showInputMessage="1" showErrorMessage="1" errorTitle="ERROR" error="Numbers only." sqref="J12 G18 H20 I32 I26 I30" xr:uid="{42F7D7E3-3063-498F-B542-2D52A9F2D013}">
      <formula1>0</formula1>
      <formula2>1000</formula2>
    </dataValidation>
    <dataValidation type="list" allowBlank="1" showInputMessage="1" showErrorMessage="1" sqref="H40:K40 H42:K42" xr:uid="{D05E53F7-059A-4683-8AF8-803BEB90A1FB}">
      <formula1>$I$46:$I$119</formula1>
    </dataValidation>
    <dataValidation allowBlank="1" showInputMessage="1" errorTitle="ERROR" error="Numbers only." sqref="L24" xr:uid="{5E695DD3-988A-4472-A46E-DF794D0F57CA}"/>
    <dataValidation type="list" allowBlank="1" showInputMessage="1" showErrorMessage="1" sqref="J6:L6" xr:uid="{C887E89E-F148-4247-9297-4E967BCB0A25}">
      <formula1>$D$46:$D$95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48</vt:i4>
      </vt:variant>
    </vt:vector>
  </HeadingPairs>
  <TitlesOfParts>
    <vt:vector size="50" baseType="lpstr">
      <vt:lpstr>Group Stage</vt:lpstr>
      <vt:lpstr>Lucky Bonus</vt:lpstr>
      <vt:lpstr>A_Team1</vt:lpstr>
      <vt:lpstr>A_Team2</vt:lpstr>
      <vt:lpstr>A_Team3</vt:lpstr>
      <vt:lpstr>A_Team4</vt:lpstr>
      <vt:lpstr>B_Team1</vt:lpstr>
      <vt:lpstr>B_Team2</vt:lpstr>
      <vt:lpstr>B_Team3</vt:lpstr>
      <vt:lpstr>B_Team4</vt:lpstr>
      <vt:lpstr>C_Team1</vt:lpstr>
      <vt:lpstr>C_Team2</vt:lpstr>
      <vt:lpstr>C_Team3</vt:lpstr>
      <vt:lpstr>C_Team4</vt:lpstr>
      <vt:lpstr>D_Team1</vt:lpstr>
      <vt:lpstr>D_Team2</vt:lpstr>
      <vt:lpstr>D_Team3</vt:lpstr>
      <vt:lpstr>D_Team4</vt:lpstr>
      <vt:lpstr>E_Team1</vt:lpstr>
      <vt:lpstr>E_Team2</vt:lpstr>
      <vt:lpstr>E_Team3</vt:lpstr>
      <vt:lpstr>E_Team4</vt:lpstr>
      <vt:lpstr>F_Team1</vt:lpstr>
      <vt:lpstr>F_Team2</vt:lpstr>
      <vt:lpstr>F_Team3</vt:lpstr>
      <vt:lpstr>F_Team4</vt:lpstr>
      <vt:lpstr>G_Team1</vt:lpstr>
      <vt:lpstr>G_Team2</vt:lpstr>
      <vt:lpstr>G_Team3</vt:lpstr>
      <vt:lpstr>G_Team4</vt:lpstr>
      <vt:lpstr>H_Team1</vt:lpstr>
      <vt:lpstr>H_Team2</vt:lpstr>
      <vt:lpstr>H_Team3</vt:lpstr>
      <vt:lpstr>H_Team4</vt:lpstr>
      <vt:lpstr>I_Team1</vt:lpstr>
      <vt:lpstr>I_Team2</vt:lpstr>
      <vt:lpstr>I_Team3</vt:lpstr>
      <vt:lpstr>I_Team4</vt:lpstr>
      <vt:lpstr>J_Team1</vt:lpstr>
      <vt:lpstr>J_Team2</vt:lpstr>
      <vt:lpstr>J_Team3</vt:lpstr>
      <vt:lpstr>J_Team4</vt:lpstr>
      <vt:lpstr>K_Team1</vt:lpstr>
      <vt:lpstr>K_Team2</vt:lpstr>
      <vt:lpstr>K_Team3</vt:lpstr>
      <vt:lpstr>K_Team4</vt:lpstr>
      <vt:lpstr>L_Team1</vt:lpstr>
      <vt:lpstr>L_Team2</vt:lpstr>
      <vt:lpstr>L_Team3</vt:lpstr>
      <vt:lpstr>L_Team4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asdf</dc:creator>
  <cp:lastModifiedBy>Baltazar, Marta</cp:lastModifiedBy>
  <dcterms:created xsi:type="dcterms:W3CDTF">2026-02-24T05:35:01Z</dcterms:created>
  <dcterms:modified xsi:type="dcterms:W3CDTF">2026-05-02T03:12:34Z</dcterms:modified>
</cp:coreProperties>
</file>